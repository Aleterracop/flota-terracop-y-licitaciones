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terracop-my.sharepoint.com/personal/aosorio_terracop_cl/Documents/"/>
    </mc:Choice>
  </mc:AlternateContent>
  <xr:revisionPtr revIDLastSave="0" documentId="8_{B26FDD78-7808-4A08-963E-CF8CF02E0E2C}" xr6:coauthVersionLast="47" xr6:coauthVersionMax="47" xr10:uidLastSave="{00000000-0000-0000-0000-000000000000}"/>
  <workbookProtection workbookAlgorithmName="SHA-512" workbookHashValue="tIJq1K57p+ibI5i4dfxBJ7BVWDieGn3wXWuydqXv10wXIZ0trkeCkODakY0O//ppA+uPiMgb0rRz07RFyAwzRA==" workbookSaltValue="8oKZ+D3UDW1ltDFccnvOqQ==" workbookSpinCount="100000" lockStructure="1"/>
  <bookViews>
    <workbookView xWindow="-108" yWindow="-108" windowWidth="23256" windowHeight="13896" firstSheet="2" activeTab="2" xr2:uid="{00000000-000D-0000-FFFF-FFFF00000000}"/>
  </bookViews>
  <sheets>
    <sheet name="Dashboard Gerencial" sheetId="1" state="hidden" r:id="rId1"/>
    <sheet name="1. Solicitudes y Cotizaciones" sheetId="2" state="hidden" r:id="rId2"/>
    <sheet name="2. Control Flota y Taller" sheetId="3" r:id="rId3"/>
    <sheet name="Parámetro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5" i="3"/>
  <c r="L6" i="3"/>
  <c r="L7" i="3"/>
  <c r="L8" i="3"/>
  <c r="L9" i="3"/>
  <c r="L10" i="3"/>
  <c r="L11" i="3"/>
  <c r="L12" i="3"/>
  <c r="L13" i="3"/>
  <c r="L14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L60" i="2"/>
  <c r="I60" i="2"/>
  <c r="L59" i="2"/>
  <c r="I59" i="2"/>
  <c r="L58" i="2"/>
  <c r="I58" i="2"/>
  <c r="L57" i="2"/>
  <c r="I57" i="2"/>
  <c r="L56" i="2"/>
  <c r="I56" i="2"/>
  <c r="L55" i="2"/>
  <c r="I55" i="2"/>
  <c r="L54" i="2"/>
  <c r="I54" i="2"/>
  <c r="L53" i="2"/>
  <c r="I53" i="2"/>
  <c r="L52" i="2"/>
  <c r="I52" i="2"/>
  <c r="L51" i="2"/>
  <c r="I51" i="2"/>
  <c r="L50" i="2"/>
  <c r="K50" i="2"/>
  <c r="I50" i="2"/>
  <c r="L49" i="2"/>
  <c r="K49" i="2"/>
  <c r="I49" i="2"/>
  <c r="L48" i="2"/>
  <c r="K48" i="2"/>
  <c r="I48" i="2"/>
  <c r="L47" i="2"/>
  <c r="K47" i="2"/>
  <c r="I47" i="2"/>
  <c r="L46" i="2"/>
  <c r="K46" i="2"/>
  <c r="I46" i="2"/>
  <c r="L45" i="2"/>
  <c r="K45" i="2"/>
  <c r="I45" i="2"/>
  <c r="L44" i="2"/>
  <c r="K44" i="2"/>
  <c r="I44" i="2"/>
  <c r="L43" i="2"/>
  <c r="K43" i="2"/>
  <c r="I43" i="2"/>
  <c r="L42" i="2"/>
  <c r="K42" i="2"/>
  <c r="I42" i="2"/>
  <c r="L41" i="2"/>
  <c r="K41" i="2"/>
  <c r="I41" i="2"/>
  <c r="L40" i="2"/>
  <c r="K40" i="2"/>
  <c r="I40" i="2"/>
  <c r="L39" i="2"/>
  <c r="K39" i="2"/>
  <c r="I39" i="2"/>
  <c r="L38" i="2"/>
  <c r="K38" i="2"/>
  <c r="I38" i="2"/>
  <c r="L37" i="2"/>
  <c r="K37" i="2"/>
  <c r="I37" i="2"/>
  <c r="L36" i="2"/>
  <c r="K36" i="2"/>
  <c r="I36" i="2"/>
  <c r="L35" i="2"/>
  <c r="K35" i="2"/>
  <c r="I35" i="2"/>
  <c r="L34" i="2"/>
  <c r="K34" i="2"/>
  <c r="I34" i="2"/>
  <c r="L33" i="2"/>
  <c r="K33" i="2"/>
  <c r="I33" i="2"/>
  <c r="L32" i="2"/>
  <c r="K32" i="2"/>
  <c r="I32" i="2"/>
  <c r="L31" i="2"/>
  <c r="K31" i="2"/>
  <c r="I31" i="2"/>
  <c r="L30" i="2"/>
  <c r="K30" i="2"/>
  <c r="I30" i="2"/>
  <c r="L29" i="2"/>
  <c r="K29" i="2"/>
  <c r="I29" i="2"/>
  <c r="L28" i="2"/>
  <c r="K28" i="2"/>
  <c r="I28" i="2"/>
  <c r="L27" i="2"/>
  <c r="K27" i="2"/>
  <c r="I27" i="2"/>
  <c r="L26" i="2"/>
  <c r="K26" i="2"/>
  <c r="I26" i="2"/>
  <c r="L25" i="2"/>
  <c r="K25" i="2"/>
  <c r="I25" i="2"/>
  <c r="L24" i="2"/>
  <c r="K24" i="2"/>
  <c r="I24" i="2"/>
  <c r="L23" i="2"/>
  <c r="K23" i="2"/>
  <c r="I23" i="2"/>
  <c r="L22" i="2"/>
  <c r="K22" i="2"/>
  <c r="I22" i="2"/>
  <c r="L21" i="2"/>
  <c r="K21" i="2"/>
  <c r="I21" i="2"/>
  <c r="L20" i="2"/>
  <c r="K20" i="2"/>
  <c r="I20" i="2"/>
  <c r="L19" i="2"/>
  <c r="K19" i="2"/>
  <c r="I19" i="2"/>
  <c r="L18" i="2"/>
  <c r="K18" i="2"/>
  <c r="I18" i="2"/>
  <c r="L17" i="2"/>
  <c r="K17" i="2"/>
  <c r="I17" i="2"/>
  <c r="L16" i="2"/>
  <c r="K16" i="2"/>
  <c r="I16" i="2"/>
  <c r="L15" i="2"/>
  <c r="K15" i="2"/>
  <c r="I15" i="2"/>
  <c r="L14" i="2"/>
  <c r="K14" i="2"/>
  <c r="I14" i="2"/>
  <c r="L13" i="2"/>
  <c r="K13" i="2"/>
  <c r="I13" i="2"/>
  <c r="L12" i="2"/>
  <c r="K12" i="2"/>
  <c r="I12" i="2"/>
  <c r="L11" i="2"/>
  <c r="K11" i="2"/>
  <c r="I11" i="2"/>
  <c r="L10" i="2"/>
  <c r="K10" i="2"/>
  <c r="I10" i="2"/>
  <c r="L5" i="2"/>
  <c r="I5" i="2"/>
  <c r="E7" i="1"/>
  <c r="E6" i="1"/>
  <c r="E8" i="1" l="1"/>
  <c r="H8" i="1"/>
  <c r="B8" i="1"/>
  <c r="E9" i="1"/>
  <c r="B7" i="1"/>
  <c r="B9" i="1"/>
  <c r="B6" i="1"/>
  <c r="H9" i="1"/>
  <c r="E10" i="1" l="1"/>
  <c r="H7" i="1" s="1"/>
  <c r="B10" i="1"/>
  <c r="H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CoordinadorOCFN</author>
  </authors>
  <commentList>
    <comment ref="E5" authorId="0" shapeId="0" xr:uid="{E6E0AA96-235D-442C-81F1-2E1382053752}">
      <text>
        <r>
          <rPr>
            <b/>
            <sz val="9"/>
            <color indexed="81"/>
            <rFont val="Tahoma"/>
            <family val="2"/>
          </rPr>
          <t>CoordinadorOCFN:</t>
        </r>
        <r>
          <rPr>
            <sz val="9"/>
            <color indexed="81"/>
            <rFont val="Tahoma"/>
            <family val="2"/>
          </rPr>
          <t xml:space="preserve">
operada por Angelo Sobarzo</t>
        </r>
      </text>
    </comment>
  </commentList>
</comments>
</file>

<file path=xl/sharedStrings.xml><?xml version="1.0" encoding="utf-8"?>
<sst xmlns="http://schemas.openxmlformats.org/spreadsheetml/2006/main" count="666" uniqueCount="321">
  <si>
    <t>GRUPO TERRACOP - DASHBOARD DE CONTROL GERENCIAL</t>
  </si>
  <si>
    <t>Resumen ejecutivo en tiempo real de Licitaciones Comerciales y Disponibilidad Operativa de Flota</t>
  </si>
  <si>
    <t>ESTADO DE LA FLOTA Y TALLER</t>
  </si>
  <si>
    <t>ESTADO DE LICITACIONES Y SOLICITUDES</t>
  </si>
  <si>
    <t>INDICADORES CLAVE (KPIs)</t>
  </si>
  <si>
    <t>Estado Operacional</t>
  </si>
  <si>
    <t>Cantidad Equipos</t>
  </si>
  <si>
    <t>Estado Comercial</t>
  </si>
  <si>
    <t>Cantidad</t>
  </si>
  <si>
    <t>KPI Estratégico</t>
  </si>
  <si>
    <t>Resultado</t>
  </si>
  <si>
    <t>Disponibles Inmediatos (Viñita)</t>
  </si>
  <si>
    <t>En Revisión / Preparación</t>
  </si>
  <si>
    <t>Disponibilidad Operacional Flota (%)</t>
  </si>
  <si>
    <t>En Operación con Mandante</t>
  </si>
  <si>
    <t>Cotizaciones Enviadas</t>
  </si>
  <si>
    <t>Tasa de Adjudicación Comercial (%)</t>
  </si>
  <si>
    <t>En Mantención / Taller</t>
  </si>
  <si>
    <t>Adjudicadas / Ganadas</t>
  </si>
  <si>
    <t>Alertas de Cotización Vencidas / Críticas</t>
  </si>
  <si>
    <t>No Operativos / Atraso Taller</t>
  </si>
  <si>
    <t>No Adjudicadas / Declinadas</t>
  </si>
  <si>
    <t>Equipos con Demora Crítica en Taller</t>
  </si>
  <si>
    <t>TOTAL FLOTA REGISTRADA</t>
  </si>
  <si>
    <t>TOTAL SOLICITUDES</t>
  </si>
  <si>
    <t>GRUPO TERRACOP - CONTROL DE SOLICITUDES, COTIZACIONES Y LICITACIONES</t>
  </si>
  <si>
    <t>Pincha el menú desplegable en cada celda para cambiar el estado. El tiempo de respuesta y la alerta se calculan automáticamente.</t>
  </si>
  <si>
    <t>ID</t>
  </si>
  <si>
    <t>Fecha Solicitud</t>
  </si>
  <si>
    <t>Mandante / Cliente</t>
  </si>
  <si>
    <t>Línea de Negocio</t>
  </si>
  <si>
    <t>Requerimiento / Equipo</t>
  </si>
  <si>
    <t>Plazo (Días)</t>
  </si>
  <si>
    <t>Fecha Límite Cotizar</t>
  </si>
  <si>
    <t>Fecha Envío Cotización</t>
  </si>
  <si>
    <t>Días Demora / Transcurridos</t>
  </si>
  <si>
    <t>ESTADO COTIZACIÓN (CHECK)</t>
  </si>
  <si>
    <t>RESULTADO / ADJUDICACIÓN (CHECK)</t>
  </si>
  <si>
    <t>ALERTA AUTOMÁTICA SLA</t>
  </si>
  <si>
    <t>Monto Cotizado (CLP)</t>
  </si>
  <si>
    <t>Observaciones / Seguimiento</t>
  </si>
  <si>
    <t>fecha envio equipo</t>
  </si>
  <si>
    <t>individualización equipo</t>
  </si>
  <si>
    <t>CTZ 1221</t>
  </si>
  <si>
    <t>FG COVER (Fenix Gold)</t>
  </si>
  <si>
    <t>Movimiento de Tierra</t>
  </si>
  <si>
    <t>1x Excavadora CAT 320 por 30 días turno día</t>
  </si>
  <si>
    <t>🔵 Cotización Enviada</t>
  </si>
  <si>
    <t>🟢 Adjudicada / Ganada</t>
  </si>
  <si>
    <t>gestionando operatividad equipo, operador en faena</t>
  </si>
  <si>
    <t>HYPS-60 (EX-209)</t>
  </si>
  <si>
    <t>GRUPO TERRACOP - DISPONIBILIDAD DE FLOTA Y CONTROL DE TALLER</t>
  </si>
  <si>
    <t>Pincha el check de la columna G para cambiar disponibilidad. Si está en taller, ingresa la fecha del Jefe de Taller.</t>
  </si>
  <si>
    <t>Item</t>
  </si>
  <si>
    <t>Cód.</t>
  </si>
  <si>
    <t>Patente</t>
  </si>
  <si>
    <t>Tipo de Equipo</t>
  </si>
  <si>
    <t>Modelo</t>
  </si>
  <si>
    <t>Ubicación Base</t>
  </si>
  <si>
    <t>CHECK ESTADO (PINCHA AQUÍ)</t>
  </si>
  <si>
    <t>Mandante Asignado (Si aplica)</t>
  </si>
  <si>
    <t>Fecha Entrada Taller</t>
  </si>
  <si>
    <t>Fecha Compromiso Taller</t>
  </si>
  <si>
    <t>Fecha Real Salida Taller</t>
  </si>
  <si>
    <t>Cumplimiento / Días Demora Taller</t>
  </si>
  <si>
    <t>ALERTA Y ESTADO AUTOMATIZADO</t>
  </si>
  <si>
    <t>BZ-268</t>
  </si>
  <si>
    <t>JTLJ-39</t>
  </si>
  <si>
    <t>BULLDOZER</t>
  </si>
  <si>
    <t xml:space="preserve">CAT D8T </t>
  </si>
  <si>
    <t>FG COVER</t>
  </si>
  <si>
    <t>🔵 EN USO POR MANDANTE</t>
  </si>
  <si>
    <t>BZ-332</t>
  </si>
  <si>
    <t>RKCJ-17</t>
  </si>
  <si>
    <t xml:space="preserve">BULLDOZER </t>
  </si>
  <si>
    <t xml:space="preserve">KOMATSU 155 </t>
  </si>
  <si>
    <t>CF-221</t>
  </si>
  <si>
    <t>DHVC-64</t>
  </si>
  <si>
    <t>CARGADOR FRONTAL</t>
  </si>
  <si>
    <t>CAT 962H</t>
  </si>
  <si>
    <t>CF-234</t>
  </si>
  <si>
    <t>FSJX-90</t>
  </si>
  <si>
    <t>CAT 966H</t>
  </si>
  <si>
    <t>🟢 DISPONIBLE INMEDIATO</t>
  </si>
  <si>
    <t>VIÑITA (Base Central)</t>
  </si>
  <si>
    <t>CF-308</t>
  </si>
  <si>
    <t>GJDR-79</t>
  </si>
  <si>
    <t>TALLER</t>
  </si>
  <si>
    <t>EXC-206</t>
  </si>
  <si>
    <t>HSZC-48</t>
  </si>
  <si>
    <t>EXCAVADORA</t>
  </si>
  <si>
    <t>CAT 320D2L</t>
  </si>
  <si>
    <t>🟡 EN TALLER / MANTENCIÓN</t>
  </si>
  <si>
    <t>EXC-209</t>
  </si>
  <si>
    <t>HYPS-60</t>
  </si>
  <si>
    <t>F. GOLD</t>
  </si>
  <si>
    <t>fenix Privados</t>
  </si>
  <si>
    <t>EXC-229</t>
  </si>
  <si>
    <t>HSZC-45</t>
  </si>
  <si>
    <t>EXC-301</t>
  </si>
  <si>
    <t>KZGP-67</t>
  </si>
  <si>
    <t>CAT 336D2L</t>
  </si>
  <si>
    <t>EXC-307</t>
  </si>
  <si>
    <t>SIN PLACA</t>
  </si>
  <si>
    <t>CAT 349D</t>
  </si>
  <si>
    <t>MN-338</t>
  </si>
  <si>
    <t>SJFB-61</t>
  </si>
  <si>
    <t>MOTONIVELADORA</t>
  </si>
  <si>
    <t>CAT 150 M</t>
  </si>
  <si>
    <t>VIÑITA</t>
  </si>
  <si>
    <t>MN-231</t>
  </si>
  <si>
    <t>JDYW-89</t>
  </si>
  <si>
    <t>CAT 140M</t>
  </si>
  <si>
    <t>RT-169</t>
  </si>
  <si>
    <t>CKZT-81</t>
  </si>
  <si>
    <t>RETROEXCAVADORA</t>
  </si>
  <si>
    <t>CAT 416E</t>
  </si>
  <si>
    <t>🔴 NO OPERATIVO / FUERA SERVICIO</t>
  </si>
  <si>
    <t>RT-339</t>
  </si>
  <si>
    <t>SSGZ-30</t>
  </si>
  <si>
    <t>CAT 416</t>
  </si>
  <si>
    <t>RT-340</t>
  </si>
  <si>
    <t>SSDC-16</t>
  </si>
  <si>
    <t>FG OOCC</t>
  </si>
  <si>
    <t>MC-161</t>
  </si>
  <si>
    <t>HHDG-52</t>
  </si>
  <si>
    <t>MINICARGADOR</t>
  </si>
  <si>
    <t>CAT 236D</t>
  </si>
  <si>
    <t>MC-187</t>
  </si>
  <si>
    <t>CYYS-75</t>
  </si>
  <si>
    <t>CAT 236B3</t>
  </si>
  <si>
    <t>ROD-320</t>
  </si>
  <si>
    <t>PSJW-22</t>
  </si>
  <si>
    <t>RODILLO 12TON</t>
  </si>
  <si>
    <t>JCB 116HL</t>
  </si>
  <si>
    <t>PTA-329</t>
  </si>
  <si>
    <t>PLANTA SELECCIONADORA</t>
  </si>
  <si>
    <t>KLEMANN MS702</t>
  </si>
  <si>
    <t>PTA-364</t>
  </si>
  <si>
    <t>KLEMANN MS802</t>
  </si>
  <si>
    <t>MS14Z</t>
  </si>
  <si>
    <t>MS 14Z KLEMANN</t>
  </si>
  <si>
    <t>TC-171</t>
  </si>
  <si>
    <t>GHCC-98</t>
  </si>
  <si>
    <t>TRACTO CAMION</t>
  </si>
  <si>
    <t>MACK CXU613E</t>
  </si>
  <si>
    <t>TRANSPORTE</t>
  </si>
  <si>
    <t>TC-305</t>
  </si>
  <si>
    <t>LPKL-45</t>
  </si>
  <si>
    <t>KENWORTH T880</t>
  </si>
  <si>
    <t>TC-333</t>
  </si>
  <si>
    <t>RKFZ-49</t>
  </si>
  <si>
    <t>KENWORTH T880 MX13</t>
  </si>
  <si>
    <t>TC-334</t>
  </si>
  <si>
    <t>RKFZ-50</t>
  </si>
  <si>
    <t>TC-351</t>
  </si>
  <si>
    <t>TYLS-95</t>
  </si>
  <si>
    <t>MACK AN64TX</t>
  </si>
  <si>
    <t>TC-357</t>
  </si>
  <si>
    <t>VGBS-25</t>
  </si>
  <si>
    <t>SCANIA 500 A6X4NA</t>
  </si>
  <si>
    <t>TC-358</t>
  </si>
  <si>
    <t>VFRD-68</t>
  </si>
  <si>
    <t>TC-359</t>
  </si>
  <si>
    <t>VFRD-69</t>
  </si>
  <si>
    <t>TC-360</t>
  </si>
  <si>
    <t>VGHG-21</t>
  </si>
  <si>
    <t>TC-361</t>
  </si>
  <si>
    <t>VGGV-38</t>
  </si>
  <si>
    <t>CT-172</t>
  </si>
  <si>
    <t>GGZT-66</t>
  </si>
  <si>
    <t>CAMION TOLVA</t>
  </si>
  <si>
    <t>MBENZ 4144k 2014</t>
  </si>
  <si>
    <t>CT-174</t>
  </si>
  <si>
    <t>GGZT-65</t>
  </si>
  <si>
    <t>CT-180</t>
  </si>
  <si>
    <t>GZXV-99</t>
  </si>
  <si>
    <t>MBENZ 4144k 2015</t>
  </si>
  <si>
    <t>CT-365</t>
  </si>
  <si>
    <t>VZPD-95</t>
  </si>
  <si>
    <t xml:space="preserve">SCANIA </t>
  </si>
  <si>
    <t>CT-366</t>
  </si>
  <si>
    <t>VZPF-15</t>
  </si>
  <si>
    <t>CT-367</t>
  </si>
  <si>
    <t>VZPF-38</t>
  </si>
  <si>
    <t>CT-368</t>
  </si>
  <si>
    <t>VZPF-49</t>
  </si>
  <si>
    <t>ALJ-207</t>
  </si>
  <si>
    <t>JH-6786</t>
  </si>
  <si>
    <t>SEMIREMOLQUE ALJIBE 30.000 Lts.</t>
  </si>
  <si>
    <t>VERGARA HNO. SR 33VH 07</t>
  </si>
  <si>
    <t>ALJ-362</t>
  </si>
  <si>
    <t>JH-6393</t>
  </si>
  <si>
    <t xml:space="preserve">METALMOR </t>
  </si>
  <si>
    <t>CAMA-194</t>
  </si>
  <si>
    <t>GRCK-71</t>
  </si>
  <si>
    <t>CAMA BAJA</t>
  </si>
  <si>
    <t>EAGER 50 GLS PT</t>
  </si>
  <si>
    <t>CAMA-314</t>
  </si>
  <si>
    <t>KYLP-74</t>
  </si>
  <si>
    <t>RANDON SR CT PD 04 70</t>
  </si>
  <si>
    <t>RPL-318</t>
  </si>
  <si>
    <t>KYPW-65</t>
  </si>
  <si>
    <t>SEMIREMOLQUE</t>
  </si>
  <si>
    <t>TREMAC SR PLANO 13.5 MTS</t>
  </si>
  <si>
    <t>RPL-319</t>
  </si>
  <si>
    <t>KYPW-64</t>
  </si>
  <si>
    <t>RPL-208</t>
  </si>
  <si>
    <t>GRDY-27</t>
  </si>
  <si>
    <t>TREMAC SRTP 13.5 3R</t>
  </si>
  <si>
    <t>RPL-349</t>
  </si>
  <si>
    <t>PXGV-66</t>
  </si>
  <si>
    <t>RPL-350</t>
  </si>
  <si>
    <t>PXGV-67</t>
  </si>
  <si>
    <t>RPL-352</t>
  </si>
  <si>
    <t>PXHX-41</t>
  </si>
  <si>
    <t>RPL-353</t>
  </si>
  <si>
    <t>PXHX-42</t>
  </si>
  <si>
    <t>RPL-354</t>
  </si>
  <si>
    <t>PXHX-43</t>
  </si>
  <si>
    <t>RPL-355</t>
  </si>
  <si>
    <t>PXHX-44</t>
  </si>
  <si>
    <t>RPL-356</t>
  </si>
  <si>
    <t>PXHX-45</t>
  </si>
  <si>
    <t>RBA-219</t>
  </si>
  <si>
    <t>JK-1515</t>
  </si>
  <si>
    <t>BATEA TREMAC SRTT20 3N</t>
  </si>
  <si>
    <t>RBA-236</t>
  </si>
  <si>
    <t>TREMAC SRTT20 3N</t>
  </si>
  <si>
    <t>RBA-310</t>
  </si>
  <si>
    <t>GRJS-89</t>
  </si>
  <si>
    <t>BATEA RANDOM</t>
  </si>
  <si>
    <t>CTA-325</t>
  </si>
  <si>
    <t>PYKD-65</t>
  </si>
  <si>
    <t>CAMIONETA</t>
  </si>
  <si>
    <t>CAMIONETA  MAXUS 2 T60 DCAB 4X4</t>
  </si>
  <si>
    <t>CTA- 335</t>
  </si>
  <si>
    <t>SBVG- 28</t>
  </si>
  <si>
    <t>CAMIONETA MAXUS T60 DCAB 4X4</t>
  </si>
  <si>
    <t>ADMINISTRACION</t>
  </si>
  <si>
    <t>CTA-341</t>
  </si>
  <si>
    <t>SS WV-28</t>
  </si>
  <si>
    <t>CAMIONETA CHEVROLET COLORADO 2.8TD 4X4</t>
  </si>
  <si>
    <t>VIÑITA, GERENCIA</t>
  </si>
  <si>
    <t>VIÑITA (CMERINO)</t>
  </si>
  <si>
    <t>CTA-342</t>
  </si>
  <si>
    <t>ST CH-76</t>
  </si>
  <si>
    <t>CTA-343</t>
  </si>
  <si>
    <t>SW TC-34</t>
  </si>
  <si>
    <t>RAM 2500 LARAMIE 6.7 AT</t>
  </si>
  <si>
    <t>VIÑITA (EN VENTA)</t>
  </si>
  <si>
    <t>AUTOMOTORA</t>
  </si>
  <si>
    <t>CTA-346</t>
  </si>
  <si>
    <t>TP LW-92</t>
  </si>
  <si>
    <t>TOYOTA HILUX 2.8 TM 4X4</t>
  </si>
  <si>
    <t>CTA-347</t>
  </si>
  <si>
    <t>TP LW-96</t>
  </si>
  <si>
    <t>TOYOTA HILUX 2.4 TM 4X4</t>
  </si>
  <si>
    <t>PROYECTOS</t>
  </si>
  <si>
    <t>CTA-348</t>
  </si>
  <si>
    <t>TP LW-97</t>
  </si>
  <si>
    <t>MANTENCION</t>
  </si>
  <si>
    <t>FUR-322</t>
  </si>
  <si>
    <t>LZLT-59</t>
  </si>
  <si>
    <t xml:space="preserve">MINI BUS </t>
  </si>
  <si>
    <t>HYUNDAI SOLATI H350 16+1</t>
  </si>
  <si>
    <t>FUR-323</t>
  </si>
  <si>
    <t>LRCL-69</t>
  </si>
  <si>
    <t>MERCEDES BENZ 16+1</t>
  </si>
  <si>
    <t>FUR-345</t>
  </si>
  <si>
    <t>TGGG-91</t>
  </si>
  <si>
    <t>SOL-311</t>
  </si>
  <si>
    <t>MOTOSOLDADORA</t>
  </si>
  <si>
    <t>LINCOLN  MD259</t>
  </si>
  <si>
    <t>SOL-313</t>
  </si>
  <si>
    <t>GN-255</t>
  </si>
  <si>
    <t xml:space="preserve">GENERADOR </t>
  </si>
  <si>
    <t>INMESOL IL-022 20 KVA</t>
  </si>
  <si>
    <t>GN-284</t>
  </si>
  <si>
    <t>INGERSOL 10 KVA</t>
  </si>
  <si>
    <t>GE-327</t>
  </si>
  <si>
    <t>GENERADOR</t>
  </si>
  <si>
    <t>EMARESA 6 KVA</t>
  </si>
  <si>
    <t>GE-328</t>
  </si>
  <si>
    <t>GN-337</t>
  </si>
  <si>
    <t>PRAMAC GBW 22</t>
  </si>
  <si>
    <t>GN-344</t>
  </si>
  <si>
    <t>PRAMAC GSW 30</t>
  </si>
  <si>
    <t>GN-369</t>
  </si>
  <si>
    <t>GS STROM</t>
  </si>
  <si>
    <t>COM-275</t>
  </si>
  <si>
    <t>COMPRESOR</t>
  </si>
  <si>
    <t>INGERSOL</t>
  </si>
  <si>
    <t>TCTX-27</t>
  </si>
  <si>
    <t>SDKF-16</t>
  </si>
  <si>
    <t>SRHY-26</t>
  </si>
  <si>
    <t>LRVY-70</t>
  </si>
  <si>
    <t>PTTF-15</t>
  </si>
  <si>
    <t>GRUPO TERRACOP - PARÁMETROS Y LISTAS MAESTRAS</t>
  </si>
  <si>
    <t>Aquí puedes agregar nuevos mandantes, faenas o líneas de negocio. Se vincularán automáticamente con las demás hojas.</t>
  </si>
  <si>
    <t>Mandantes y Faenas Mineras</t>
  </si>
  <si>
    <t>Líneas de Negocio</t>
  </si>
  <si>
    <t>Estado de Cotización (Check 1)</t>
  </si>
  <si>
    <t>Resultado Adjudicación (Check 2)</t>
  </si>
  <si>
    <t>Estados de Flota (Check)</t>
  </si>
  <si>
    <t>🟡 En Revisión / Preparación</t>
  </si>
  <si>
    <t>⏳ En Evaluación por Mandante</t>
  </si>
  <si>
    <t>FG OOCC (Fenix Gold)</t>
  </si>
  <si>
    <t>Transporte</t>
  </si>
  <si>
    <t>Gold Fields - Salares Norte</t>
  </si>
  <si>
    <t>Obras Civiles</t>
  </si>
  <si>
    <t>🔴 No Enviada / No Cotizar</t>
  </si>
  <si>
    <t>🔴 No Adjudicada / Perdida</t>
  </si>
  <si>
    <t>Minera Candelaria</t>
  </si>
  <si>
    <t>Maestranza Mirelva</t>
  </si>
  <si>
    <t>⚪ Declinada / Desistida</t>
  </si>
  <si>
    <t>Codelco División Salvador</t>
  </si>
  <si>
    <t>Servicios Integrales</t>
  </si>
  <si>
    <t>DOH MOP (Obras Públicas)</t>
  </si>
  <si>
    <t>Dirección de Vialidad MOP</t>
  </si>
  <si>
    <t>Otros Clientes Privados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</si>
</sst>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dd\-mm\-yy;@"/>
  </numFmts>
  <fonts count="9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/>
    <xf numFmtId="14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6" fontId="0" fillId="0" borderId="0" xfId="0" applyNumberFormat="1"/>
    <xf numFmtId="166" fontId="3" fillId="2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1F4E79"/>
        <name val="Calibri"/>
      </font>
      <fill>
        <patternFill patternType="solid">
          <fgColor rgb="FFDDEBF7"/>
          <bgColor rgb="FFDDEBF7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595959"/>
        <name val="Calibri"/>
      </font>
      <fill>
        <patternFill patternType="solid">
          <fgColor rgb="FFF2F2F2"/>
          <bgColor rgb="FFF2F2F2"/>
        </patternFill>
      </fill>
    </dxf>
    <dxf>
      <font>
        <b/>
        <sz val="11"/>
        <color rgb="FF1F4E79"/>
        <name val="Calibri"/>
      </font>
      <fill>
        <patternFill patternType="solid">
          <fgColor rgb="FFDDEBF7"/>
          <bgColor rgb="FFDDEBF7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833C0C"/>
        <name val="Calibri"/>
      </font>
      <fill>
        <patternFill patternType="solid">
          <fgColor rgb="FFFFF2CC"/>
          <bgColor rgb="FFFFF2CC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Distribución Operativa de Flota Terracop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Gerencial'!$B$5</c:f>
              <c:strCache>
                <c:ptCount val="1"/>
                <c:pt idx="0">
                  <c:v>Cantidad Equipos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Gerencial'!$A$6:$A$9</c:f>
              <c:strCache>
                <c:ptCount val="4"/>
                <c:pt idx="0">
                  <c:v>Disponibles Inmediatos (Viñita)</c:v>
                </c:pt>
                <c:pt idx="1">
                  <c:v>En Operación con Mandante</c:v>
                </c:pt>
                <c:pt idx="2">
                  <c:v>En Mantención / Taller</c:v>
                </c:pt>
                <c:pt idx="3">
                  <c:v>No Operativos / Atraso Taller</c:v>
                </c:pt>
              </c:strCache>
            </c:strRef>
          </c:cat>
          <c:val>
            <c:numRef>
              <c:f>'Dashboard Gerencial'!$B$6:$B$9</c:f>
              <c:numCache>
                <c:formatCode>General</c:formatCode>
                <c:ptCount val="4"/>
                <c:pt idx="0">
                  <c:v>36</c:v>
                </c:pt>
                <c:pt idx="1">
                  <c:v>33</c:v>
                </c:pt>
                <c:pt idx="2">
                  <c:v>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4-48AC-AEB0-6FD4E4F78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Estado Comercial de Solicitudes y Licitaciones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Gerencial'!$E$5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Gerencial'!$D$6:$D$9</c:f>
              <c:strCache>
                <c:ptCount val="4"/>
                <c:pt idx="0">
                  <c:v>En Revisión / Preparación</c:v>
                </c:pt>
                <c:pt idx="1">
                  <c:v>Cotizaciones Enviadas</c:v>
                </c:pt>
                <c:pt idx="2">
                  <c:v>Adjudicadas / Ganadas</c:v>
                </c:pt>
                <c:pt idx="3">
                  <c:v>No Adjudicadas / Declinadas</c:v>
                </c:pt>
              </c:strCache>
            </c:strRef>
          </c:cat>
          <c:val>
            <c:numRef>
              <c:f>'Dashboard Gerencial'!$E$6:$E$9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A-488C-B91A-AC24AC57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Estado Comercial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Cantidad de Requerimientos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12</xdr:row>
      <xdr:rowOff>0</xdr:rowOff>
    </xdr:from>
    <xdr:ext cx="61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E10" sqref="E10"/>
    </sheetView>
  </sheetViews>
  <sheetFormatPr defaultColWidth="8.85546875" defaultRowHeight="14.45"/>
  <cols>
    <col min="1" max="1" width="36" customWidth="1"/>
    <col min="2" max="2" width="18" customWidth="1"/>
    <col min="3" max="3" width="5" customWidth="1"/>
    <col min="4" max="4" width="36" customWidth="1"/>
    <col min="5" max="5" width="18" customWidth="1"/>
    <col min="6" max="6" width="5" customWidth="1"/>
    <col min="7" max="7" width="38" customWidth="1"/>
    <col min="8" max="8" width="18" customWidth="1"/>
  </cols>
  <sheetData>
    <row r="1" spans="1:8" ht="18">
      <c r="A1" s="1" t="s">
        <v>0</v>
      </c>
    </row>
    <row r="2" spans="1:8">
      <c r="A2" s="2" t="s">
        <v>1</v>
      </c>
    </row>
    <row r="4" spans="1:8">
      <c r="A4" s="3" t="s">
        <v>2</v>
      </c>
      <c r="D4" s="3" t="s">
        <v>3</v>
      </c>
      <c r="G4" s="3" t="s">
        <v>4</v>
      </c>
    </row>
    <row r="5" spans="1:8">
      <c r="A5" s="17" t="s">
        <v>5</v>
      </c>
      <c r="B5" s="18" t="s">
        <v>6</v>
      </c>
      <c r="D5" s="17" t="s">
        <v>7</v>
      </c>
      <c r="E5" s="18" t="s">
        <v>8</v>
      </c>
      <c r="G5" s="17" t="s">
        <v>9</v>
      </c>
      <c r="H5" s="18" t="s">
        <v>10</v>
      </c>
    </row>
    <row r="6" spans="1:8">
      <c r="A6" s="4" t="s">
        <v>11</v>
      </c>
      <c r="B6" s="5">
        <f ca="1">COUNTIF('2. Control Flota y Taller'!M5:M112, "🟢*")</f>
        <v>36</v>
      </c>
      <c r="D6" s="4" t="s">
        <v>12</v>
      </c>
      <c r="E6" s="5">
        <f>COUNTIF('1. Solicitudes y Cotizaciones'!J5:J60, "*Revisión*")</f>
        <v>0</v>
      </c>
      <c r="G6" s="4" t="s">
        <v>13</v>
      </c>
      <c r="H6" s="6">
        <f ca="1">(B6+B7)/B10</f>
        <v>0.85185185185185186</v>
      </c>
    </row>
    <row r="7" spans="1:8">
      <c r="A7" s="4" t="s">
        <v>14</v>
      </c>
      <c r="B7" s="5">
        <f ca="1">COUNTIF('2. Control Flota y Taller'!M5:M112, "🔵*")</f>
        <v>33</v>
      </c>
      <c r="D7" s="4" t="s">
        <v>15</v>
      </c>
      <c r="E7" s="5">
        <f>COUNTIF('1. Solicitudes y Cotizaciones'!J5:J60, "*Enviada*")</f>
        <v>1</v>
      </c>
      <c r="G7" s="4" t="s">
        <v>16</v>
      </c>
      <c r="H7" s="6">
        <f ca="1">E8/E10</f>
        <v>0.5</v>
      </c>
    </row>
    <row r="8" spans="1:8">
      <c r="A8" s="4" t="s">
        <v>17</v>
      </c>
      <c r="B8" s="5">
        <f ca="1">COUNTIF('2. Control Flota y Taller'!M5:M112, "🟡*")</f>
        <v>2</v>
      </c>
      <c r="D8" s="4" t="s">
        <v>18</v>
      </c>
      <c r="E8" s="5">
        <f ca="1">COUNTIF('1. Solicitudes y Cotizaciones'!K5:K60, "*Ganada*")</f>
        <v>1</v>
      </c>
      <c r="G8" s="4" t="s">
        <v>19</v>
      </c>
      <c r="H8" s="7">
        <f ca="1">COUNTIF('1. Solicitudes y Cotizaciones'!K5:K50, "🔴*")</f>
        <v>0</v>
      </c>
    </row>
    <row r="9" spans="1:8">
      <c r="A9" s="4" t="s">
        <v>20</v>
      </c>
      <c r="B9" s="5">
        <f ca="1">COUNTIF('2. Control Flota y Taller'!M5:M112, "🔴*")</f>
        <v>10</v>
      </c>
      <c r="D9" s="4" t="s">
        <v>21</v>
      </c>
      <c r="E9" s="5">
        <f ca="1">COUNTIF('1. Solicitudes y Cotizaciones'!K5:K60, "*No Adjudicada*") + COUNTIF('1. Solicitudes y Cotizaciones'!K5:K60, "*Declinada*")</f>
        <v>0</v>
      </c>
      <c r="G9" s="4" t="s">
        <v>22</v>
      </c>
      <c r="H9" s="7">
        <f ca="1">COUNTIF('2. Control Flota y Taller'!M5:M112, "🔴 DEMORA*")</f>
        <v>0</v>
      </c>
    </row>
    <row r="10" spans="1:8">
      <c r="A10" s="8" t="s">
        <v>23</v>
      </c>
      <c r="B10" s="7">
        <f ca="1">SUM(B6:B9)</f>
        <v>81</v>
      </c>
      <c r="D10" s="8" t="s">
        <v>24</v>
      </c>
      <c r="E10" s="7">
        <f ca="1">SUM(E6:E9)</f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orkbookViewId="0">
      <selection activeCell="E19" sqref="E19"/>
    </sheetView>
  </sheetViews>
  <sheetFormatPr defaultColWidth="8.85546875" defaultRowHeight="14.45"/>
  <cols>
    <col min="1" max="1" width="12" customWidth="1"/>
    <col min="2" max="2" width="16" customWidth="1"/>
    <col min="3" max="3" width="30" customWidth="1"/>
    <col min="4" max="4" width="24.7109375" customWidth="1"/>
    <col min="5" max="5" width="42.7109375" customWidth="1"/>
    <col min="6" max="6" width="14" customWidth="1"/>
    <col min="7" max="7" width="20" customWidth="1"/>
    <col min="8" max="8" width="22" customWidth="1"/>
    <col min="9" max="9" width="26" customWidth="1"/>
    <col min="10" max="10" width="30" customWidth="1"/>
    <col min="11" max="11" width="32" customWidth="1"/>
    <col min="12" max="12" width="28" customWidth="1"/>
    <col min="13" max="13" width="22" customWidth="1"/>
    <col min="14" max="14" width="47" customWidth="1"/>
    <col min="15" max="15" width="21.5703125" customWidth="1"/>
    <col min="16" max="16" width="23.7109375" customWidth="1"/>
  </cols>
  <sheetData>
    <row r="1" spans="1:16" ht="18" customHeight="1">
      <c r="A1" s="1" t="s">
        <v>25</v>
      </c>
    </row>
    <row r="2" spans="1:16">
      <c r="A2" s="2" t="s">
        <v>26</v>
      </c>
    </row>
    <row r="4" spans="1:16" ht="28.15" customHeight="1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</v>
      </c>
      <c r="L4" s="15" t="s">
        <v>38</v>
      </c>
      <c r="M4" s="15" t="s">
        <v>39</v>
      </c>
      <c r="N4" s="15" t="s">
        <v>40</v>
      </c>
      <c r="O4" s="15" t="s">
        <v>41</v>
      </c>
      <c r="P4" s="15" t="s">
        <v>42</v>
      </c>
    </row>
    <row r="5" spans="1:16" ht="22.9" customHeight="1">
      <c r="A5" s="5" t="s">
        <v>43</v>
      </c>
      <c r="B5" s="14">
        <v>46262</v>
      </c>
      <c r="C5" s="5" t="s">
        <v>44</v>
      </c>
      <c r="D5" s="5" t="s">
        <v>45</v>
      </c>
      <c r="E5" s="5" t="s">
        <v>46</v>
      </c>
      <c r="F5" s="10">
        <v>30</v>
      </c>
      <c r="G5" s="14">
        <v>46264</v>
      </c>
      <c r="H5" s="14">
        <v>46262</v>
      </c>
      <c r="I5" s="5">
        <f t="shared" ref="I5:I36" ca="1" si="0">IF(B5="","",IF(H5&lt;&gt;"", H5-B5, TODAY()-B5))</f>
        <v>0</v>
      </c>
      <c r="J5" s="9" t="s">
        <v>47</v>
      </c>
      <c r="K5" s="9" t="s">
        <v>48</v>
      </c>
      <c r="L5" s="11" t="str">
        <f t="shared" ref="L5:L36" ca="1" si="1">IF(B5="","", IF(ISNUMBER(SEARCH("Adjudicada / Ganada", K5)), "✅ Adjudicada", IF(ISNUMBER(SEARCH("No Adjudicada", K5)), "🔴 No Adjudicada", IF(OR(ISNUMBER(SEARCH("Declinada", K5)), ISNUMBER(SEARCH("No Enviada", J5))), "⚪ Declinada / No Cotizada", IF(ISNUMBER(SEARCH("Enviada", J5)), "📬 Cotización Enviada", IF(TODAY()&gt;G5, "🔴 Atrasada / Vencida", IF(G5-TODAY()&lt;=2, "🟡 Por Vencer (≤48h)", "🟢 En Plazo")))))))</f>
        <v>✅ Adjudicada</v>
      </c>
      <c r="M5" s="12">
        <v>20633360</v>
      </c>
      <c r="N5" s="9" t="s">
        <v>49</v>
      </c>
      <c r="O5" s="16">
        <v>46266</v>
      </c>
      <c r="P5" s="5" t="s">
        <v>50</v>
      </c>
    </row>
    <row r="6" spans="1:16">
      <c r="A6" s="5"/>
      <c r="B6" s="5"/>
      <c r="C6" s="9"/>
      <c r="D6" s="9"/>
      <c r="E6" s="9"/>
      <c r="F6" s="10"/>
      <c r="G6" s="5"/>
      <c r="H6" s="5"/>
      <c r="I6" s="5"/>
      <c r="J6" s="9"/>
      <c r="K6" s="9"/>
      <c r="L6" s="11"/>
      <c r="M6" s="12"/>
      <c r="N6" s="9"/>
    </row>
    <row r="7" spans="1:16">
      <c r="A7" s="5"/>
      <c r="B7" s="5"/>
      <c r="C7" s="9"/>
      <c r="D7" s="9"/>
      <c r="E7" s="9"/>
      <c r="F7" s="10"/>
      <c r="G7" s="5"/>
      <c r="H7" s="5"/>
      <c r="I7" s="5"/>
      <c r="J7" s="9"/>
      <c r="K7" s="9"/>
      <c r="L7" s="11"/>
      <c r="M7" s="12"/>
      <c r="N7" s="9"/>
    </row>
    <row r="8" spans="1:16">
      <c r="A8" s="5"/>
      <c r="B8" s="5"/>
      <c r="C8" s="9"/>
      <c r="D8" s="9"/>
      <c r="E8" s="9"/>
      <c r="F8" s="10"/>
      <c r="G8" s="5"/>
      <c r="H8" s="5"/>
      <c r="I8" s="5"/>
      <c r="J8" s="9"/>
      <c r="K8" s="9"/>
      <c r="L8" s="11"/>
      <c r="M8" s="12"/>
      <c r="N8" s="9"/>
    </row>
    <row r="9" spans="1:16">
      <c r="A9" s="5"/>
      <c r="B9" s="5"/>
      <c r="C9" s="9"/>
      <c r="D9" s="9"/>
      <c r="E9" s="9"/>
      <c r="F9" s="10"/>
      <c r="G9" s="5"/>
      <c r="H9" s="5"/>
      <c r="I9" s="5"/>
      <c r="J9" s="9"/>
      <c r="K9" s="9"/>
      <c r="L9" s="11"/>
      <c r="M9" s="12"/>
      <c r="N9" s="9"/>
    </row>
    <row r="10" spans="1:16">
      <c r="A10" s="4"/>
      <c r="B10" s="4"/>
      <c r="C10" s="4"/>
      <c r="D10" s="4"/>
      <c r="E10" s="4"/>
      <c r="F10" s="4"/>
      <c r="G10" s="4"/>
      <c r="H10" s="4"/>
      <c r="I10" s="5" t="str">
        <f t="shared" ca="1" si="0"/>
        <v/>
      </c>
      <c r="J10" s="4"/>
      <c r="K10" s="5" t="str">
        <f t="shared" ref="K10:K50" ca="1" si="2">IF(B10="","", IF(ISNUMBER(SEARCH("Declinada",J10)), "⚪ Declinada / No Adjudicada", IF(ISNUMBER(SEARCH("Ganada",J10)), "✅ Adjudicada", IF(ISNUMBER(SEARCH("Enviada",J10)), "📬 Cotización Enviada", IF(TODAY()&gt;G10, "🔴 Atrasada / Vencida", IF(G10-TODAY()&lt;=2, "🟡 Por Vencer (≤48h)", "🟢 En Plazo"))))))</f>
        <v/>
      </c>
      <c r="L10" s="11" t="str">
        <f t="shared" ca="1" si="1"/>
        <v/>
      </c>
      <c r="M10" s="13"/>
      <c r="N10" s="4"/>
    </row>
    <row r="11" spans="1:16">
      <c r="A11" s="4"/>
      <c r="B11" s="4"/>
      <c r="C11" s="4"/>
      <c r="D11" s="4"/>
      <c r="E11" s="4"/>
      <c r="F11" s="4"/>
      <c r="G11" s="4"/>
      <c r="H11" s="4"/>
      <c r="I11" s="5" t="str">
        <f t="shared" ca="1" si="0"/>
        <v/>
      </c>
      <c r="J11" s="4"/>
      <c r="K11" s="5" t="str">
        <f t="shared" ca="1" si="2"/>
        <v/>
      </c>
      <c r="L11" s="11" t="str">
        <f t="shared" ca="1" si="1"/>
        <v/>
      </c>
      <c r="M11" s="13"/>
      <c r="N11" s="4"/>
    </row>
    <row r="12" spans="1:16">
      <c r="A12" s="4"/>
      <c r="B12" s="4"/>
      <c r="C12" s="4"/>
      <c r="D12" s="4"/>
      <c r="E12" s="4"/>
      <c r="F12" s="4"/>
      <c r="G12" s="4"/>
      <c r="H12" s="4"/>
      <c r="I12" s="5" t="str">
        <f t="shared" ca="1" si="0"/>
        <v/>
      </c>
      <c r="J12" s="4"/>
      <c r="K12" s="5" t="str">
        <f t="shared" ca="1" si="2"/>
        <v/>
      </c>
      <c r="L12" s="11" t="str">
        <f t="shared" ca="1" si="1"/>
        <v/>
      </c>
      <c r="M12" s="13"/>
      <c r="N12" s="4"/>
    </row>
    <row r="13" spans="1:16">
      <c r="A13" s="4"/>
      <c r="B13" s="4"/>
      <c r="C13" s="4"/>
      <c r="D13" s="4"/>
      <c r="E13" s="4"/>
      <c r="F13" s="4"/>
      <c r="G13" s="4"/>
      <c r="H13" s="4"/>
      <c r="I13" s="5" t="str">
        <f t="shared" ca="1" si="0"/>
        <v/>
      </c>
      <c r="J13" s="4"/>
      <c r="K13" s="5" t="str">
        <f t="shared" ca="1" si="2"/>
        <v/>
      </c>
      <c r="L13" s="11" t="str">
        <f t="shared" ca="1" si="1"/>
        <v/>
      </c>
      <c r="M13" s="13"/>
      <c r="N13" s="4"/>
    </row>
    <row r="14" spans="1:16">
      <c r="A14" s="4"/>
      <c r="B14" s="4"/>
      <c r="C14" s="4"/>
      <c r="D14" s="4"/>
      <c r="E14" s="4"/>
      <c r="F14" s="4"/>
      <c r="G14" s="4"/>
      <c r="H14" s="4"/>
      <c r="I14" s="5" t="str">
        <f t="shared" ca="1" si="0"/>
        <v/>
      </c>
      <c r="J14" s="4"/>
      <c r="K14" s="5" t="str">
        <f t="shared" ca="1" si="2"/>
        <v/>
      </c>
      <c r="L14" s="11" t="str">
        <f t="shared" ca="1" si="1"/>
        <v/>
      </c>
      <c r="M14" s="13"/>
      <c r="N14" s="4"/>
    </row>
    <row r="15" spans="1:16">
      <c r="A15" s="4"/>
      <c r="B15" s="4"/>
      <c r="C15" s="4"/>
      <c r="D15" s="4"/>
      <c r="E15" s="4"/>
      <c r="F15" s="4"/>
      <c r="G15" s="4"/>
      <c r="H15" s="4"/>
      <c r="I15" s="5" t="str">
        <f t="shared" ca="1" si="0"/>
        <v/>
      </c>
      <c r="J15" s="4"/>
      <c r="K15" s="5" t="str">
        <f t="shared" ca="1" si="2"/>
        <v/>
      </c>
      <c r="L15" s="11" t="str">
        <f t="shared" ca="1" si="1"/>
        <v/>
      </c>
      <c r="M15" s="13"/>
      <c r="N15" s="4"/>
    </row>
    <row r="16" spans="1:16">
      <c r="A16" s="4"/>
      <c r="B16" s="4"/>
      <c r="C16" s="4"/>
      <c r="D16" s="4"/>
      <c r="E16" s="4"/>
      <c r="F16" s="4"/>
      <c r="G16" s="4"/>
      <c r="H16" s="4"/>
      <c r="I16" s="5" t="str">
        <f t="shared" ca="1" si="0"/>
        <v/>
      </c>
      <c r="J16" s="4"/>
      <c r="K16" s="5" t="str">
        <f t="shared" ca="1" si="2"/>
        <v/>
      </c>
      <c r="L16" s="11" t="str">
        <f t="shared" ca="1" si="1"/>
        <v/>
      </c>
      <c r="M16" s="13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5" t="str">
        <f t="shared" ca="1" si="0"/>
        <v/>
      </c>
      <c r="J17" s="4"/>
      <c r="K17" s="5" t="str">
        <f t="shared" ca="1" si="2"/>
        <v/>
      </c>
      <c r="L17" s="11" t="str">
        <f t="shared" ca="1" si="1"/>
        <v/>
      </c>
      <c r="M17" s="13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5" t="str">
        <f t="shared" ca="1" si="0"/>
        <v/>
      </c>
      <c r="J18" s="4"/>
      <c r="K18" s="5" t="str">
        <f t="shared" ca="1" si="2"/>
        <v/>
      </c>
      <c r="L18" s="11" t="str">
        <f t="shared" ca="1" si="1"/>
        <v/>
      </c>
      <c r="M18" s="13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5" t="str">
        <f t="shared" ca="1" si="0"/>
        <v/>
      </c>
      <c r="J19" s="4"/>
      <c r="K19" s="5" t="str">
        <f t="shared" ca="1" si="2"/>
        <v/>
      </c>
      <c r="L19" s="11" t="str">
        <f t="shared" ca="1" si="1"/>
        <v/>
      </c>
      <c r="M19" s="13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5" t="str">
        <f t="shared" ca="1" si="0"/>
        <v/>
      </c>
      <c r="J20" s="4"/>
      <c r="K20" s="5" t="str">
        <f t="shared" ca="1" si="2"/>
        <v/>
      </c>
      <c r="L20" s="11" t="str">
        <f t="shared" ca="1" si="1"/>
        <v/>
      </c>
      <c r="M20" s="13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5" t="str">
        <f t="shared" ca="1" si="0"/>
        <v/>
      </c>
      <c r="J21" s="4"/>
      <c r="K21" s="5" t="str">
        <f t="shared" ca="1" si="2"/>
        <v/>
      </c>
      <c r="L21" s="11" t="str">
        <f t="shared" ca="1" si="1"/>
        <v/>
      </c>
      <c r="M21" s="13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5" t="str">
        <f t="shared" ca="1" si="0"/>
        <v/>
      </c>
      <c r="J22" s="4"/>
      <c r="K22" s="5" t="str">
        <f t="shared" ca="1" si="2"/>
        <v/>
      </c>
      <c r="L22" s="11" t="str">
        <f t="shared" ca="1" si="1"/>
        <v/>
      </c>
      <c r="M22" s="13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5" t="str">
        <f t="shared" ca="1" si="0"/>
        <v/>
      </c>
      <c r="J23" s="4"/>
      <c r="K23" s="5" t="str">
        <f t="shared" ca="1" si="2"/>
        <v/>
      </c>
      <c r="L23" s="11" t="str">
        <f t="shared" ca="1" si="1"/>
        <v/>
      </c>
      <c r="M23" s="13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5" t="str">
        <f t="shared" ca="1" si="0"/>
        <v/>
      </c>
      <c r="J24" s="4"/>
      <c r="K24" s="5" t="str">
        <f t="shared" ca="1" si="2"/>
        <v/>
      </c>
      <c r="L24" s="11" t="str">
        <f t="shared" ca="1" si="1"/>
        <v/>
      </c>
      <c r="M24" s="13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5" t="str">
        <f t="shared" ca="1" si="0"/>
        <v/>
      </c>
      <c r="J25" s="4"/>
      <c r="K25" s="5" t="str">
        <f t="shared" ca="1" si="2"/>
        <v/>
      </c>
      <c r="L25" s="11" t="str">
        <f t="shared" ca="1" si="1"/>
        <v/>
      </c>
      <c r="M25" s="13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5" t="str">
        <f t="shared" ca="1" si="0"/>
        <v/>
      </c>
      <c r="J26" s="4"/>
      <c r="K26" s="5" t="str">
        <f t="shared" ca="1" si="2"/>
        <v/>
      </c>
      <c r="L26" s="11" t="str">
        <f t="shared" ca="1" si="1"/>
        <v/>
      </c>
      <c r="M26" s="13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5" t="str">
        <f t="shared" ca="1" si="0"/>
        <v/>
      </c>
      <c r="J27" s="4"/>
      <c r="K27" s="5" t="str">
        <f t="shared" ca="1" si="2"/>
        <v/>
      </c>
      <c r="L27" s="11" t="str">
        <f t="shared" ca="1" si="1"/>
        <v/>
      </c>
      <c r="M27" s="13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5" t="str">
        <f t="shared" ca="1" si="0"/>
        <v/>
      </c>
      <c r="J28" s="4"/>
      <c r="K28" s="5" t="str">
        <f t="shared" ca="1" si="2"/>
        <v/>
      </c>
      <c r="L28" s="11" t="str">
        <f t="shared" ca="1" si="1"/>
        <v/>
      </c>
      <c r="M28" s="13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5" t="str">
        <f t="shared" ca="1" si="0"/>
        <v/>
      </c>
      <c r="J29" s="4"/>
      <c r="K29" s="5" t="str">
        <f t="shared" ca="1" si="2"/>
        <v/>
      </c>
      <c r="L29" s="11" t="str">
        <f t="shared" ca="1" si="1"/>
        <v/>
      </c>
      <c r="M29" s="13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5" t="str">
        <f t="shared" ca="1" si="0"/>
        <v/>
      </c>
      <c r="J30" s="4"/>
      <c r="K30" s="5" t="str">
        <f t="shared" ca="1" si="2"/>
        <v/>
      </c>
      <c r="L30" s="11" t="str">
        <f t="shared" ca="1" si="1"/>
        <v/>
      </c>
      <c r="M30" s="13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5" t="str">
        <f t="shared" ca="1" si="0"/>
        <v/>
      </c>
      <c r="J31" s="4"/>
      <c r="K31" s="5" t="str">
        <f t="shared" ca="1" si="2"/>
        <v/>
      </c>
      <c r="L31" s="11" t="str">
        <f t="shared" ca="1" si="1"/>
        <v/>
      </c>
      <c r="M31" s="13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5" t="str">
        <f t="shared" ca="1" si="0"/>
        <v/>
      </c>
      <c r="J32" s="4"/>
      <c r="K32" s="5" t="str">
        <f t="shared" ca="1" si="2"/>
        <v/>
      </c>
      <c r="L32" s="11" t="str">
        <f t="shared" ca="1" si="1"/>
        <v/>
      </c>
      <c r="M32" s="13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5" t="str">
        <f t="shared" ca="1" si="0"/>
        <v/>
      </c>
      <c r="J33" s="4"/>
      <c r="K33" s="5" t="str">
        <f t="shared" ca="1" si="2"/>
        <v/>
      </c>
      <c r="L33" s="11" t="str">
        <f t="shared" ca="1" si="1"/>
        <v/>
      </c>
      <c r="M33" s="13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5" t="str">
        <f t="shared" ca="1" si="0"/>
        <v/>
      </c>
      <c r="J34" s="4"/>
      <c r="K34" s="5" t="str">
        <f t="shared" ca="1" si="2"/>
        <v/>
      </c>
      <c r="L34" s="11" t="str">
        <f t="shared" ca="1" si="1"/>
        <v/>
      </c>
      <c r="M34" s="13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5" t="str">
        <f t="shared" ca="1" si="0"/>
        <v/>
      </c>
      <c r="J35" s="4"/>
      <c r="K35" s="5" t="str">
        <f t="shared" ca="1" si="2"/>
        <v/>
      </c>
      <c r="L35" s="11" t="str">
        <f t="shared" ca="1" si="1"/>
        <v/>
      </c>
      <c r="M35" s="13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5" t="str">
        <f t="shared" ca="1" si="0"/>
        <v/>
      </c>
      <c r="J36" s="4"/>
      <c r="K36" s="5" t="str">
        <f t="shared" ca="1" si="2"/>
        <v/>
      </c>
      <c r="L36" s="11" t="str">
        <f t="shared" ca="1" si="1"/>
        <v/>
      </c>
      <c r="M36" s="13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5" t="str">
        <f t="shared" ref="I37:I60" ca="1" si="3">IF(B37="","",IF(H37&lt;&gt;"", H37-B37, TODAY()-B37))</f>
        <v/>
      </c>
      <c r="J37" s="4"/>
      <c r="K37" s="5" t="str">
        <f t="shared" ca="1" si="2"/>
        <v/>
      </c>
      <c r="L37" s="11" t="str">
        <f t="shared" ref="L37:L60" ca="1" si="4">IF(B37="","", IF(ISNUMBER(SEARCH("Adjudicada / Ganada", K37)), "✅ Adjudicada", IF(ISNUMBER(SEARCH("No Adjudicada", K37)), "🔴 No Adjudicada", IF(OR(ISNUMBER(SEARCH("Declinada", K37)), ISNUMBER(SEARCH("No Enviada", J37))), "⚪ Declinada / No Cotizada", IF(ISNUMBER(SEARCH("Enviada", J37)), "📬 Cotización Enviada", IF(TODAY()&gt;G37, "🔴 Atrasada / Vencida", IF(G37-TODAY()&lt;=2, "🟡 Por Vencer (≤48h)", "🟢 En Plazo")))))))</f>
        <v/>
      </c>
      <c r="M37" s="13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5" t="str">
        <f t="shared" ca="1" si="3"/>
        <v/>
      </c>
      <c r="J38" s="4"/>
      <c r="K38" s="5" t="str">
        <f t="shared" ca="1" si="2"/>
        <v/>
      </c>
      <c r="L38" s="11" t="str">
        <f t="shared" ca="1" si="4"/>
        <v/>
      </c>
      <c r="M38" s="13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5" t="str">
        <f t="shared" ca="1" si="3"/>
        <v/>
      </c>
      <c r="J39" s="4"/>
      <c r="K39" s="5" t="str">
        <f t="shared" ca="1" si="2"/>
        <v/>
      </c>
      <c r="L39" s="11" t="str">
        <f t="shared" ca="1" si="4"/>
        <v/>
      </c>
      <c r="M39" s="13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5" t="str">
        <f t="shared" ca="1" si="3"/>
        <v/>
      </c>
      <c r="J40" s="4"/>
      <c r="K40" s="5" t="str">
        <f t="shared" ca="1" si="2"/>
        <v/>
      </c>
      <c r="L40" s="11" t="str">
        <f t="shared" ca="1" si="4"/>
        <v/>
      </c>
      <c r="M40" s="13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5" t="str">
        <f t="shared" ca="1" si="3"/>
        <v/>
      </c>
      <c r="J41" s="4"/>
      <c r="K41" s="5" t="str">
        <f t="shared" ca="1" si="2"/>
        <v/>
      </c>
      <c r="L41" s="7" t="str">
        <f t="shared" ca="1" si="4"/>
        <v/>
      </c>
      <c r="M41" s="13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5" t="str">
        <f t="shared" ca="1" si="3"/>
        <v/>
      </c>
      <c r="J42" s="4"/>
      <c r="K42" s="5" t="str">
        <f t="shared" ca="1" si="2"/>
        <v/>
      </c>
      <c r="L42" s="7" t="str">
        <f t="shared" ca="1" si="4"/>
        <v/>
      </c>
      <c r="M42" s="13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5" t="str">
        <f t="shared" ca="1" si="3"/>
        <v/>
      </c>
      <c r="J43" s="4"/>
      <c r="K43" s="5" t="str">
        <f t="shared" ca="1" si="2"/>
        <v/>
      </c>
      <c r="L43" s="7" t="str">
        <f t="shared" ca="1" si="4"/>
        <v/>
      </c>
      <c r="M43" s="13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5" t="str">
        <f t="shared" ca="1" si="3"/>
        <v/>
      </c>
      <c r="J44" s="4"/>
      <c r="K44" s="5" t="str">
        <f t="shared" ca="1" si="2"/>
        <v/>
      </c>
      <c r="L44" s="7" t="str">
        <f t="shared" ca="1" si="4"/>
        <v/>
      </c>
      <c r="M44" s="13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5" t="str">
        <f t="shared" ca="1" si="3"/>
        <v/>
      </c>
      <c r="J45" s="4"/>
      <c r="K45" s="5" t="str">
        <f t="shared" ca="1" si="2"/>
        <v/>
      </c>
      <c r="L45" s="7" t="str">
        <f t="shared" ca="1" si="4"/>
        <v/>
      </c>
      <c r="M45" s="13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5" t="str">
        <f t="shared" ca="1" si="3"/>
        <v/>
      </c>
      <c r="J46" s="4"/>
      <c r="K46" s="5" t="str">
        <f t="shared" ca="1" si="2"/>
        <v/>
      </c>
      <c r="L46" s="7" t="str">
        <f t="shared" ca="1" si="4"/>
        <v/>
      </c>
      <c r="M46" s="13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5" t="str">
        <f t="shared" ca="1" si="3"/>
        <v/>
      </c>
      <c r="J47" s="4"/>
      <c r="K47" s="5" t="str">
        <f t="shared" ca="1" si="2"/>
        <v/>
      </c>
      <c r="L47" s="7" t="str">
        <f t="shared" ca="1" si="4"/>
        <v/>
      </c>
      <c r="M47" s="13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5" t="str">
        <f t="shared" ca="1" si="3"/>
        <v/>
      </c>
      <c r="J48" s="4"/>
      <c r="K48" s="5" t="str">
        <f t="shared" ca="1" si="2"/>
        <v/>
      </c>
      <c r="L48" s="7" t="str">
        <f t="shared" ca="1" si="4"/>
        <v/>
      </c>
      <c r="M48" s="13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5" t="str">
        <f t="shared" ca="1" si="3"/>
        <v/>
      </c>
      <c r="J49" s="4"/>
      <c r="K49" s="5" t="str">
        <f t="shared" ca="1" si="2"/>
        <v/>
      </c>
      <c r="L49" s="7" t="str">
        <f t="shared" ca="1" si="4"/>
        <v/>
      </c>
      <c r="M49" s="13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5" t="str">
        <f t="shared" ca="1" si="3"/>
        <v/>
      </c>
      <c r="J50" s="4"/>
      <c r="K50" s="5" t="str">
        <f t="shared" ca="1" si="2"/>
        <v/>
      </c>
      <c r="L50" s="7" t="str">
        <f t="shared" ca="1" si="4"/>
        <v/>
      </c>
      <c r="M50" s="13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5" t="str">
        <f t="shared" ca="1" si="3"/>
        <v/>
      </c>
      <c r="J51" s="4"/>
      <c r="K51" s="4"/>
      <c r="L51" s="7" t="str">
        <f t="shared" ca="1" si="4"/>
        <v/>
      </c>
      <c r="M51" s="13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5" t="str">
        <f t="shared" ca="1" si="3"/>
        <v/>
      </c>
      <c r="J52" s="4"/>
      <c r="K52" s="4"/>
      <c r="L52" s="7" t="str">
        <f t="shared" ca="1" si="4"/>
        <v/>
      </c>
      <c r="M52" s="13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5" t="str">
        <f t="shared" ca="1" si="3"/>
        <v/>
      </c>
      <c r="J53" s="4"/>
      <c r="K53" s="4"/>
      <c r="L53" s="7" t="str">
        <f t="shared" ca="1" si="4"/>
        <v/>
      </c>
      <c r="M53" s="13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5" t="str">
        <f t="shared" ca="1" si="3"/>
        <v/>
      </c>
      <c r="J54" s="4"/>
      <c r="K54" s="4"/>
      <c r="L54" s="7" t="str">
        <f t="shared" ca="1" si="4"/>
        <v/>
      </c>
      <c r="M54" s="13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5" t="str">
        <f t="shared" ca="1" si="3"/>
        <v/>
      </c>
      <c r="J55" s="4"/>
      <c r="K55" s="4"/>
      <c r="L55" s="7" t="str">
        <f t="shared" ca="1" si="4"/>
        <v/>
      </c>
      <c r="M55" s="13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5" t="str">
        <f t="shared" ca="1" si="3"/>
        <v/>
      </c>
      <c r="J56" s="4"/>
      <c r="K56" s="4"/>
      <c r="L56" s="7" t="str">
        <f t="shared" ca="1" si="4"/>
        <v/>
      </c>
      <c r="M56" s="13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5" t="str">
        <f t="shared" ca="1" si="3"/>
        <v/>
      </c>
      <c r="J57" s="4"/>
      <c r="K57" s="4"/>
      <c r="L57" s="7" t="str">
        <f t="shared" ca="1" si="4"/>
        <v/>
      </c>
      <c r="M57" s="13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5" t="str">
        <f t="shared" ca="1" si="3"/>
        <v/>
      </c>
      <c r="J58" s="4"/>
      <c r="K58" s="4"/>
      <c r="L58" s="7" t="str">
        <f t="shared" ca="1" si="4"/>
        <v/>
      </c>
      <c r="M58" s="13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5" t="str">
        <f t="shared" ca="1" si="3"/>
        <v/>
      </c>
      <c r="J59" s="4"/>
      <c r="K59" s="4"/>
      <c r="L59" s="7" t="str">
        <f t="shared" ca="1" si="4"/>
        <v/>
      </c>
      <c r="M59" s="13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5" t="str">
        <f t="shared" ca="1" si="3"/>
        <v/>
      </c>
      <c r="J60" s="4"/>
      <c r="K60" s="4"/>
      <c r="L60" s="7" t="str">
        <f t="shared" ca="1" si="4"/>
        <v/>
      </c>
      <c r="M60" s="13"/>
      <c r="N60" s="4"/>
    </row>
  </sheetData>
  <conditionalFormatting sqref="L5:L60">
    <cfRule type="cellIs" dxfId="17" priority="8" operator="equal">
      <formula>"🟢 En Plazo"</formula>
    </cfRule>
    <cfRule type="cellIs" dxfId="16" priority="9" operator="equal">
      <formula>"🟡 Por Vencer (≤48h)"</formula>
    </cfRule>
    <cfRule type="cellIs" dxfId="15" priority="10" operator="equal">
      <formula>"🔴 Atrasada / Vencida"</formula>
    </cfRule>
    <cfRule type="cellIs" dxfId="14" priority="11" operator="equal">
      <formula>"✅ Adjudicada"</formula>
    </cfRule>
    <cfRule type="cellIs" dxfId="13" priority="12" operator="equal">
      <formula>"🔴 No Adjudicada"</formula>
    </cfRule>
    <cfRule type="cellIs" dxfId="12" priority="13" operator="equal">
      <formula>"📬 Cotización Enviada"</formula>
    </cfRule>
    <cfRule type="cellIs" dxfId="11" priority="14" operator="equal">
      <formula>"⚪ Declinada / No Cotizada"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Parámetros!$A$5:$A$25</xm:f>
          </x14:formula1>
          <xm:sqref>C5:C60</xm:sqref>
        </x14:dataValidation>
        <x14:dataValidation type="list" allowBlank="1" xr:uid="{00000000-0002-0000-0100-000001000000}">
          <x14:formula1>
            <xm:f>Parámetros!$C$5:$C$15</xm:f>
          </x14:formula1>
          <xm:sqref>D5:D60</xm:sqref>
        </x14:dataValidation>
        <x14:dataValidation type="list" allowBlank="1" xr:uid="{00000000-0002-0000-0100-000002000000}">
          <x14:formula1>
            <xm:f>Parámetros!$E$5:$E$10</xm:f>
          </x14:formula1>
          <xm:sqref>J5:J60</xm:sqref>
        </x14:dataValidation>
        <x14:dataValidation type="list" allowBlank="1" xr:uid="{00000000-0002-0000-0100-000003000000}">
          <x14:formula1>
            <xm:f>Parámetros!$G$5:$G$10</xm:f>
          </x14:formula1>
          <xm:sqref>K5:K60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25"/>
  <sheetViews>
    <sheetView tabSelected="1" topLeftCell="F1" workbookViewId="0">
      <selection activeCell="J14" sqref="J14"/>
    </sheetView>
  </sheetViews>
  <sheetFormatPr defaultColWidth="8.85546875" defaultRowHeight="14.45"/>
  <cols>
    <col min="1" max="1" width="8" customWidth="1"/>
    <col min="2" max="3" width="14" customWidth="1"/>
    <col min="4" max="5" width="28" customWidth="1"/>
    <col min="6" max="6" width="18" customWidth="1"/>
    <col min="7" max="7" width="36" customWidth="1"/>
    <col min="8" max="8" width="28" customWidth="1"/>
    <col min="9" max="9" width="21.7109375" style="25" customWidth="1"/>
    <col min="10" max="10" width="28" style="25" customWidth="1"/>
    <col min="11" max="11" width="20" style="21" customWidth="1"/>
    <col min="12" max="12" width="30" customWidth="1"/>
    <col min="13" max="13" width="40" customWidth="1"/>
  </cols>
  <sheetData>
    <row r="1" spans="1:13" ht="18" customHeight="1">
      <c r="A1" s="1" t="s">
        <v>51</v>
      </c>
    </row>
    <row r="2" spans="1:13">
      <c r="A2" s="2" t="s">
        <v>52</v>
      </c>
    </row>
    <row r="4" spans="1:13" ht="28.15" customHeight="1">
      <c r="A4" s="15" t="s">
        <v>53</v>
      </c>
      <c r="B4" s="15" t="s">
        <v>54</v>
      </c>
      <c r="C4" s="15" t="s">
        <v>55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  <c r="I4" s="26" t="s">
        <v>61</v>
      </c>
      <c r="J4" s="26" t="s">
        <v>62</v>
      </c>
      <c r="K4" s="22" t="s">
        <v>63</v>
      </c>
      <c r="L4" s="15" t="s">
        <v>64</v>
      </c>
      <c r="M4" s="15" t="s">
        <v>65</v>
      </c>
    </row>
    <row r="5" spans="1:13">
      <c r="A5" s="5">
        <v>1</v>
      </c>
      <c r="B5" s="5" t="s">
        <v>66</v>
      </c>
      <c r="C5" s="5" t="s">
        <v>67</v>
      </c>
      <c r="D5" s="9" t="s">
        <v>68</v>
      </c>
      <c r="E5" s="9" t="s">
        <v>69</v>
      </c>
      <c r="F5" s="5" t="s">
        <v>70</v>
      </c>
      <c r="G5" s="9" t="s">
        <v>71</v>
      </c>
      <c r="H5" s="9" t="s">
        <v>70</v>
      </c>
      <c r="I5" s="14"/>
      <c r="J5" s="14"/>
      <c r="K5" s="23"/>
      <c r="L5" s="5" t="str">
        <f t="shared" ref="L5:L13" ca="1" si="0">IF(I5="","",IF(K5&lt;&gt;"",IF(--K5&lt;=--J5,"🟢 Cumplido a Tiempo","🟡 Entregado con Atraso ("&amp;TEXT(--K5---J5,"0")&amp;" d)"),IF(J5="","🔴 Sin Fecha Compromiso",IF(TODAY()&lt;=--J5,"🟢 En Plazo ("&amp;TEXT(--J5-TODAY(),"0")&amp;" d rest.)","🔴 Atrasado ("&amp;TEXT(TODAY()---J5,"0")&amp;" d)"))))</f>
        <v/>
      </c>
      <c r="M5" s="19" t="str">
        <f t="shared" ref="M5:M36" ca="1" si="1">IF(G5="","", IF(ISNUMBER(SEARCH("DISPONIBLE", G5)), "🟢 DISPONIBLE INMEDIATO", IF(ISNUMBER(SEARCH("MANDANTE", G5)), IF(H5&lt;&gt;"","🔵 EN OPERACIÓN: " &amp; H5,"🔵 EN OPERACIÓN"), IF(ISNUMBER(SEARCH("NO OPERATIVO", G5)), "🔴 NO OPERATIVO CRÍTICO", IF(K5&lt;&gt;"", "🟢 SALIÓ DE TALLER (DISPONIBLE)", IF(J5="", "🔴 EN TALLER (Falta Fecha Jefe Taller)", IF(TODAY()&gt;J5, "🔴 DEMORA / RETRASO EN TALLER", IF(J5-TODAY()&lt;=2, "🟡 YA POR SALIR DEL TALLER", "🟡 EN MANTENCIÓN SEGÚN PROGRAMA"))))))))</f>
        <v>🔵 EN OPERACIÓN: FG COVER</v>
      </c>
    </row>
    <row r="6" spans="1:13">
      <c r="A6" s="5">
        <v>2</v>
      </c>
      <c r="B6" s="5" t="s">
        <v>72</v>
      </c>
      <c r="C6" s="5" t="s">
        <v>73</v>
      </c>
      <c r="D6" s="9" t="s">
        <v>74</v>
      </c>
      <c r="E6" s="9" t="s">
        <v>75</v>
      </c>
      <c r="F6" s="5" t="s">
        <v>70</v>
      </c>
      <c r="G6" s="9" t="s">
        <v>71</v>
      </c>
      <c r="H6" s="9" t="s">
        <v>70</v>
      </c>
      <c r="I6" s="14"/>
      <c r="J6" s="14"/>
      <c r="K6" s="23"/>
      <c r="L6" s="5" t="str">
        <f t="shared" ca="1" si="0"/>
        <v/>
      </c>
      <c r="M6" s="19" t="str">
        <f t="shared" ca="1" si="1"/>
        <v>🔵 EN OPERACIÓN: FG COVER</v>
      </c>
    </row>
    <row r="7" spans="1:13">
      <c r="A7" s="5">
        <v>3</v>
      </c>
      <c r="B7" s="5" t="s">
        <v>76</v>
      </c>
      <c r="C7" s="5" t="s">
        <v>77</v>
      </c>
      <c r="D7" s="9" t="s">
        <v>78</v>
      </c>
      <c r="E7" s="9" t="s">
        <v>79</v>
      </c>
      <c r="F7" s="5" t="s">
        <v>70</v>
      </c>
      <c r="G7" s="9" t="s">
        <v>71</v>
      </c>
      <c r="H7" s="9" t="s">
        <v>70</v>
      </c>
      <c r="I7" s="14"/>
      <c r="J7" s="14"/>
      <c r="K7" s="23"/>
      <c r="L7" s="5" t="str">
        <f t="shared" ca="1" si="0"/>
        <v/>
      </c>
      <c r="M7" s="19" t="str">
        <f t="shared" ca="1" si="1"/>
        <v>🔵 EN OPERACIÓN: FG COVER</v>
      </c>
    </row>
    <row r="8" spans="1:13">
      <c r="A8" s="5">
        <v>4</v>
      </c>
      <c r="B8" s="5" t="s">
        <v>80</v>
      </c>
      <c r="C8" s="5" t="s">
        <v>81</v>
      </c>
      <c r="D8" s="9" t="s">
        <v>78</v>
      </c>
      <c r="E8" s="9" t="s">
        <v>82</v>
      </c>
      <c r="F8" s="5" t="s">
        <v>70</v>
      </c>
      <c r="G8" s="9" t="s">
        <v>83</v>
      </c>
      <c r="H8" s="9" t="s">
        <v>84</v>
      </c>
      <c r="I8" s="14"/>
      <c r="J8" s="14"/>
      <c r="K8" s="23"/>
      <c r="L8" s="5" t="str">
        <f t="shared" ca="1" si="0"/>
        <v/>
      </c>
      <c r="M8" s="19" t="str">
        <f t="shared" ca="1" si="1"/>
        <v>🟢 DISPONIBLE INMEDIATO</v>
      </c>
    </row>
    <row r="9" spans="1:13">
      <c r="A9" s="5">
        <v>5</v>
      </c>
      <c r="B9" s="5" t="s">
        <v>85</v>
      </c>
      <c r="C9" s="5" t="s">
        <v>86</v>
      </c>
      <c r="D9" s="9" t="s">
        <v>78</v>
      </c>
      <c r="E9" s="9" t="s">
        <v>79</v>
      </c>
      <c r="F9" s="5" t="s">
        <v>87</v>
      </c>
      <c r="G9" s="9" t="s">
        <v>71</v>
      </c>
      <c r="H9" s="9" t="s">
        <v>44</v>
      </c>
      <c r="I9" s="14"/>
      <c r="J9" s="14"/>
      <c r="K9" s="23"/>
      <c r="L9" s="5" t="str">
        <f t="shared" ca="1" si="0"/>
        <v/>
      </c>
      <c r="M9" s="19" t="str">
        <f ca="1">IF(G9="","", IF(ISNUMBER(SEARCH("DISPONIBLE", G9)), "🟢 DISPONIBLE INMEDIATO", IF(ISNUMBER(SEARCH("MANDANTE", G9)), IF(H9&lt;&gt;"","🔵 EN OPERACIÓN: " &amp; H9,"🔵 EN OPERACIÓN"), IF(ISNUMBER(SEARCH("NO OPERATIVO", G9)), "🔴 NO OPERATIVO CRÍTICO", IF(K9&lt;&gt;"", "🟢 SALIÓ DE TALLER (DISPONIBLE)", IF(J9="", "🔴 EN TALLER (Falta Fecha Jefe Taller)", IF(TODAY()&gt;J9, "🔴 DEMORA / RETRASO EN TALLER", IF(J9-TODAY()&lt;=2, "🟡 YA POR SALIR DEL TALLER", "🟡 EN MANTENCIÓN SEGÚN PROGRAMA"))))))))</f>
        <v>🔵 EN OPERACIÓN: FG COVER (Fenix Gold)</v>
      </c>
    </row>
    <row r="10" spans="1:13">
      <c r="A10" s="5">
        <v>6</v>
      </c>
      <c r="B10" s="5" t="s">
        <v>88</v>
      </c>
      <c r="C10" s="5" t="s">
        <v>89</v>
      </c>
      <c r="D10" s="9" t="s">
        <v>90</v>
      </c>
      <c r="E10" s="9" t="s">
        <v>91</v>
      </c>
      <c r="F10" s="5" t="s">
        <v>87</v>
      </c>
      <c r="G10" s="9" t="s">
        <v>92</v>
      </c>
      <c r="H10" s="9" t="s">
        <v>87</v>
      </c>
      <c r="I10" s="14">
        <v>46267</v>
      </c>
      <c r="J10" s="14">
        <v>46276</v>
      </c>
      <c r="K10" s="23"/>
      <c r="L10" s="5" t="str">
        <f t="shared" ca="1" si="0"/>
        <v>🟢 En Plazo (7 d rest.)</v>
      </c>
      <c r="M10" s="19" t="str">
        <f t="shared" ca="1" si="1"/>
        <v>🟡 EN MANTENCIÓN SEGÚN PROGRAMA</v>
      </c>
    </row>
    <row r="11" spans="1:13">
      <c r="A11" s="5">
        <v>7</v>
      </c>
      <c r="B11" s="5" t="s">
        <v>93</v>
      </c>
      <c r="C11" s="5" t="s">
        <v>94</v>
      </c>
      <c r="D11" s="9" t="s">
        <v>90</v>
      </c>
      <c r="E11" s="9" t="s">
        <v>91</v>
      </c>
      <c r="F11" s="5" t="s">
        <v>95</v>
      </c>
      <c r="G11" s="9" t="s">
        <v>71</v>
      </c>
      <c r="H11" s="9" t="s">
        <v>96</v>
      </c>
      <c r="I11" s="14"/>
      <c r="J11" s="14"/>
      <c r="K11" s="23"/>
      <c r="L11" s="5" t="str">
        <f t="shared" ca="1" si="0"/>
        <v/>
      </c>
      <c r="M11" s="19" t="str">
        <f t="shared" ca="1" si="1"/>
        <v>🔵 EN OPERACIÓN: fenix Privados</v>
      </c>
    </row>
    <row r="12" spans="1:13">
      <c r="A12" s="5">
        <v>8</v>
      </c>
      <c r="B12" s="5" t="s">
        <v>97</v>
      </c>
      <c r="C12" s="5" t="s">
        <v>98</v>
      </c>
      <c r="D12" s="9" t="s">
        <v>90</v>
      </c>
      <c r="E12" s="9" t="s">
        <v>91</v>
      </c>
      <c r="F12" s="5" t="s">
        <v>70</v>
      </c>
      <c r="G12" s="9" t="s">
        <v>71</v>
      </c>
      <c r="H12" s="9" t="s">
        <v>70</v>
      </c>
      <c r="I12" s="14"/>
      <c r="J12" s="14"/>
      <c r="K12" s="23"/>
      <c r="L12" s="5" t="str">
        <f t="shared" ca="1" si="0"/>
        <v/>
      </c>
      <c r="M12" s="19" t="str">
        <f t="shared" ca="1" si="1"/>
        <v>🔵 EN OPERACIÓN: FG COVER</v>
      </c>
    </row>
    <row r="13" spans="1:13">
      <c r="A13" s="5">
        <v>9</v>
      </c>
      <c r="B13" s="5" t="s">
        <v>99</v>
      </c>
      <c r="C13" s="5" t="s">
        <v>100</v>
      </c>
      <c r="D13" s="9" t="s">
        <v>90</v>
      </c>
      <c r="E13" s="9" t="s">
        <v>101</v>
      </c>
      <c r="F13" s="5" t="s">
        <v>70</v>
      </c>
      <c r="G13" s="9" t="s">
        <v>71</v>
      </c>
      <c r="H13" s="9" t="s">
        <v>70</v>
      </c>
      <c r="I13" s="14"/>
      <c r="J13" s="14"/>
      <c r="K13" s="23"/>
      <c r="L13" s="5" t="str">
        <f t="shared" ca="1" si="0"/>
        <v/>
      </c>
      <c r="M13" s="19" t="str">
        <f t="shared" ca="1" si="1"/>
        <v>🔵 EN OPERACIÓN: FG COVER</v>
      </c>
    </row>
    <row r="14" spans="1:13">
      <c r="A14" s="5">
        <v>10</v>
      </c>
      <c r="B14" s="5" t="s">
        <v>102</v>
      </c>
      <c r="C14" s="5" t="s">
        <v>103</v>
      </c>
      <c r="D14" s="9" t="s">
        <v>90</v>
      </c>
      <c r="E14" s="9" t="s">
        <v>104</v>
      </c>
      <c r="F14" s="5" t="s">
        <v>87</v>
      </c>
      <c r="G14" s="9" t="s">
        <v>92</v>
      </c>
      <c r="H14" s="9" t="s">
        <v>84</v>
      </c>
      <c r="I14" s="14">
        <v>46251</v>
      </c>
      <c r="J14" s="14">
        <v>46274</v>
      </c>
      <c r="K14" s="23"/>
      <c r="L14" s="5" t="str">
        <f ca="1">IF(I14="","",IF(K14&lt;&gt;"",IF(--K14&lt;=--J14,"🟢 Cumplido a Tiempo","🟡 Entregado con Atraso ("&amp;TEXT(--K14---J14,"0")&amp;" d)"),IF(J14="","🔴 Sin Fecha Compromiso",IF(TODAY()&lt;=--J14,"🟢 En Plazo ("&amp;TEXT(--J14-TODAY(),"0")&amp;" d rest.)","🔴 Atrasado ("&amp;TEXT(TODAY()---J14,"0")&amp;" d)"))))</f>
        <v>🟢 En Plazo (5 d rest.)</v>
      </c>
      <c r="M14" s="19" t="str">
        <f t="shared" ca="1" si="1"/>
        <v>🟡 EN MANTENCIÓN SEGÚN PROGRAMA</v>
      </c>
    </row>
    <row r="15" spans="1:13">
      <c r="A15" s="5">
        <v>11</v>
      </c>
      <c r="B15" s="5" t="s">
        <v>105</v>
      </c>
      <c r="C15" s="5" t="s">
        <v>106</v>
      </c>
      <c r="D15" s="9" t="s">
        <v>107</v>
      </c>
      <c r="E15" s="9" t="s">
        <v>108</v>
      </c>
      <c r="F15" s="5" t="s">
        <v>109</v>
      </c>
      <c r="G15" s="9" t="s">
        <v>83</v>
      </c>
      <c r="H15" s="9" t="s">
        <v>84</v>
      </c>
      <c r="I15" s="14"/>
      <c r="J15" s="14"/>
      <c r="K15" s="23"/>
      <c r="L15" s="5"/>
      <c r="M15" s="19" t="str">
        <f t="shared" ca="1" si="1"/>
        <v>🟢 DISPONIBLE INMEDIATO</v>
      </c>
    </row>
    <row r="16" spans="1:13">
      <c r="A16" s="5">
        <v>12</v>
      </c>
      <c r="B16" s="5" t="s">
        <v>110</v>
      </c>
      <c r="C16" s="5" t="s">
        <v>111</v>
      </c>
      <c r="D16" s="9" t="s">
        <v>107</v>
      </c>
      <c r="E16" s="9" t="s">
        <v>112</v>
      </c>
      <c r="F16" s="5" t="s">
        <v>109</v>
      </c>
      <c r="G16" s="9" t="s">
        <v>83</v>
      </c>
      <c r="H16" s="9" t="s">
        <v>84</v>
      </c>
      <c r="I16" s="14"/>
      <c r="J16" s="14"/>
      <c r="K16" s="23"/>
      <c r="L16" s="5"/>
      <c r="M16" s="19" t="str">
        <f t="shared" ca="1" si="1"/>
        <v>🟢 DISPONIBLE INMEDIATO</v>
      </c>
    </row>
    <row r="17" spans="1:13">
      <c r="A17" s="5">
        <v>13</v>
      </c>
      <c r="B17" s="5" t="s">
        <v>113</v>
      </c>
      <c r="C17" s="5" t="s">
        <v>114</v>
      </c>
      <c r="D17" s="9" t="s">
        <v>115</v>
      </c>
      <c r="E17" s="9" t="s">
        <v>116</v>
      </c>
      <c r="F17" s="5" t="s">
        <v>87</v>
      </c>
      <c r="G17" s="9" t="s">
        <v>117</v>
      </c>
      <c r="H17" s="9" t="s">
        <v>84</v>
      </c>
      <c r="I17" s="14"/>
      <c r="J17" s="14"/>
      <c r="K17" s="23"/>
      <c r="L17" s="5" t="str">
        <f t="shared" ref="L17:L78" ca="1" si="2">IF(I17="","",IF(K17&lt;&gt;"",IF(--K17&lt;=--J17,"🟢 Cumplido a Tiempo","🟡 Entregado con Atraso ("&amp;TEXT(--K17---J17,"0")&amp;" d)"),IF(J17="","🔴 Sin Fecha Compromiso",IF(TODAY()&lt;=--J17,"🟢 En Plazo ("&amp;TEXT(--J17-TODAY(),"0")&amp;" d rest.)","🔴 Atrasado ("&amp;TEXT(TODAY()---J17,"0")&amp;" d)"))))</f>
        <v/>
      </c>
      <c r="M17" s="19" t="str">
        <f t="shared" ca="1" si="1"/>
        <v>🔴 NO OPERATIVO CRÍTICO</v>
      </c>
    </row>
    <row r="18" spans="1:13">
      <c r="A18" s="5">
        <v>14</v>
      </c>
      <c r="B18" s="5" t="s">
        <v>118</v>
      </c>
      <c r="C18" s="5" t="s">
        <v>119</v>
      </c>
      <c r="D18" s="9" t="s">
        <v>115</v>
      </c>
      <c r="E18" s="9" t="s">
        <v>120</v>
      </c>
      <c r="F18" s="5" t="s">
        <v>109</v>
      </c>
      <c r="G18" s="9" t="s">
        <v>83</v>
      </c>
      <c r="H18" s="9" t="s">
        <v>84</v>
      </c>
      <c r="I18" s="14"/>
      <c r="J18" s="14"/>
      <c r="K18" s="23"/>
      <c r="L18" s="5" t="str">
        <f t="shared" ca="1" si="2"/>
        <v/>
      </c>
      <c r="M18" s="19" t="str">
        <f t="shared" ca="1" si="1"/>
        <v>🟢 DISPONIBLE INMEDIATO</v>
      </c>
    </row>
    <row r="19" spans="1:13">
      <c r="A19" s="5">
        <v>15</v>
      </c>
      <c r="B19" s="5" t="s">
        <v>121</v>
      </c>
      <c r="C19" s="5" t="s">
        <v>122</v>
      </c>
      <c r="D19" s="9" t="s">
        <v>115</v>
      </c>
      <c r="E19" s="9" t="s">
        <v>120</v>
      </c>
      <c r="F19" s="5" t="s">
        <v>123</v>
      </c>
      <c r="G19" s="9" t="s">
        <v>71</v>
      </c>
      <c r="H19" s="9" t="s">
        <v>123</v>
      </c>
      <c r="I19" s="14"/>
      <c r="J19" s="14"/>
      <c r="K19" s="23"/>
      <c r="L19" s="5" t="str">
        <f t="shared" ca="1" si="2"/>
        <v/>
      </c>
      <c r="M19" s="19" t="str">
        <f t="shared" ca="1" si="1"/>
        <v>🔵 EN OPERACIÓN: FG OOCC</v>
      </c>
    </row>
    <row r="20" spans="1:13">
      <c r="A20" s="5">
        <v>16</v>
      </c>
      <c r="B20" s="5" t="s">
        <v>124</v>
      </c>
      <c r="C20" s="5" t="s">
        <v>125</v>
      </c>
      <c r="D20" s="9" t="s">
        <v>126</v>
      </c>
      <c r="E20" s="9" t="s">
        <v>127</v>
      </c>
      <c r="F20" s="5" t="s">
        <v>87</v>
      </c>
      <c r="G20" s="9" t="s">
        <v>92</v>
      </c>
      <c r="H20" s="9" t="s">
        <v>84</v>
      </c>
      <c r="I20" s="14"/>
      <c r="J20" s="14"/>
      <c r="K20" s="23"/>
      <c r="L20" s="5" t="str">
        <f t="shared" ca="1" si="2"/>
        <v/>
      </c>
      <c r="M20" s="19" t="str">
        <f t="shared" ca="1" si="1"/>
        <v>🔴 EN TALLER (Falta Fecha Jefe Taller)</v>
      </c>
    </row>
    <row r="21" spans="1:13">
      <c r="A21" s="5">
        <v>17</v>
      </c>
      <c r="B21" s="5" t="s">
        <v>128</v>
      </c>
      <c r="C21" s="5" t="s">
        <v>129</v>
      </c>
      <c r="D21" s="9" t="s">
        <v>126</v>
      </c>
      <c r="E21" s="9" t="s">
        <v>130</v>
      </c>
      <c r="F21" s="5" t="s">
        <v>109</v>
      </c>
      <c r="G21" s="9" t="s">
        <v>83</v>
      </c>
      <c r="H21" s="9" t="s">
        <v>84</v>
      </c>
      <c r="I21" s="14"/>
      <c r="J21" s="14"/>
      <c r="K21" s="23"/>
      <c r="L21" s="5" t="str">
        <f t="shared" ca="1" si="2"/>
        <v/>
      </c>
      <c r="M21" s="19" t="str">
        <f t="shared" ca="1" si="1"/>
        <v>🟢 DISPONIBLE INMEDIATO</v>
      </c>
    </row>
    <row r="22" spans="1:13">
      <c r="A22" s="5">
        <v>18</v>
      </c>
      <c r="B22" s="5" t="s">
        <v>131</v>
      </c>
      <c r="C22" s="5" t="s">
        <v>132</v>
      </c>
      <c r="D22" s="9" t="s">
        <v>133</v>
      </c>
      <c r="E22" s="9" t="s">
        <v>134</v>
      </c>
      <c r="F22" s="5" t="s">
        <v>109</v>
      </c>
      <c r="G22" s="9" t="s">
        <v>83</v>
      </c>
      <c r="H22" s="9" t="s">
        <v>84</v>
      </c>
      <c r="I22" s="14"/>
      <c r="J22" s="14"/>
      <c r="K22" s="23"/>
      <c r="L22" s="5" t="str">
        <f t="shared" ca="1" si="2"/>
        <v/>
      </c>
      <c r="M22" s="19" t="str">
        <f t="shared" ca="1" si="1"/>
        <v>🟢 DISPONIBLE INMEDIATO</v>
      </c>
    </row>
    <row r="23" spans="1:13">
      <c r="A23" s="5">
        <v>19</v>
      </c>
      <c r="B23" s="5" t="s">
        <v>135</v>
      </c>
      <c r="C23" s="5" t="s">
        <v>135</v>
      </c>
      <c r="D23" s="9" t="s">
        <v>136</v>
      </c>
      <c r="E23" s="9" t="s">
        <v>137</v>
      </c>
      <c r="F23" s="5" t="s">
        <v>70</v>
      </c>
      <c r="G23" s="9" t="s">
        <v>71</v>
      </c>
      <c r="H23" s="9" t="s">
        <v>44</v>
      </c>
      <c r="I23" s="14"/>
      <c r="J23" s="14"/>
      <c r="K23" s="23"/>
      <c r="L23" s="5" t="str">
        <f t="shared" ca="1" si="2"/>
        <v/>
      </c>
      <c r="M23" s="19" t="str">
        <f t="shared" ca="1" si="1"/>
        <v>🔵 EN OPERACIÓN: FG COVER (Fenix Gold)</v>
      </c>
    </row>
    <row r="24" spans="1:13">
      <c r="A24" s="5">
        <v>20</v>
      </c>
      <c r="B24" s="5" t="s">
        <v>138</v>
      </c>
      <c r="C24" s="5" t="s">
        <v>138</v>
      </c>
      <c r="D24" s="9" t="s">
        <v>136</v>
      </c>
      <c r="E24" s="9" t="s">
        <v>139</v>
      </c>
      <c r="F24" s="5" t="s">
        <v>70</v>
      </c>
      <c r="G24" s="9" t="s">
        <v>117</v>
      </c>
      <c r="H24" s="9" t="s">
        <v>44</v>
      </c>
      <c r="I24" s="14"/>
      <c r="J24" s="14"/>
      <c r="K24" s="23"/>
      <c r="L24" s="5" t="str">
        <f t="shared" ca="1" si="2"/>
        <v/>
      </c>
      <c r="M24" s="19" t="str">
        <f t="shared" ca="1" si="1"/>
        <v>🔴 NO OPERATIVO CRÍTICO</v>
      </c>
    </row>
    <row r="25" spans="1:13">
      <c r="A25" s="5">
        <v>21</v>
      </c>
      <c r="B25" s="5" t="s">
        <v>140</v>
      </c>
      <c r="C25" s="5" t="s">
        <v>140</v>
      </c>
      <c r="D25" s="9" t="s">
        <v>136</v>
      </c>
      <c r="E25" s="9" t="s">
        <v>141</v>
      </c>
      <c r="F25" s="5" t="s">
        <v>70</v>
      </c>
      <c r="G25" s="9" t="s">
        <v>71</v>
      </c>
      <c r="H25" s="9" t="s">
        <v>70</v>
      </c>
      <c r="I25" s="14"/>
      <c r="J25" s="14"/>
      <c r="K25" s="23"/>
      <c r="L25" s="5" t="str">
        <f t="shared" ca="1" si="2"/>
        <v/>
      </c>
      <c r="M25" s="19" t="str">
        <f t="shared" ca="1" si="1"/>
        <v>🔵 EN OPERACIÓN: FG COVER</v>
      </c>
    </row>
    <row r="26" spans="1:13">
      <c r="A26" s="5">
        <v>22</v>
      </c>
      <c r="B26" s="5" t="s">
        <v>142</v>
      </c>
      <c r="C26" s="5" t="s">
        <v>143</v>
      </c>
      <c r="D26" s="9" t="s">
        <v>144</v>
      </c>
      <c r="E26" s="9" t="s">
        <v>145</v>
      </c>
      <c r="F26" s="5" t="s">
        <v>87</v>
      </c>
      <c r="G26" s="9" t="s">
        <v>117</v>
      </c>
      <c r="H26" s="9" t="s">
        <v>146</v>
      </c>
      <c r="I26" s="14">
        <v>46261</v>
      </c>
      <c r="J26" s="14">
        <v>46274</v>
      </c>
      <c r="K26" s="23"/>
      <c r="L26" s="5" t="str">
        <f t="shared" ca="1" si="2"/>
        <v>🟢 En Plazo (5 d rest.)</v>
      </c>
      <c r="M26" s="19" t="str">
        <f t="shared" ca="1" si="1"/>
        <v>🔴 NO OPERATIVO CRÍTICO</v>
      </c>
    </row>
    <row r="27" spans="1:13">
      <c r="A27" s="5">
        <v>23</v>
      </c>
      <c r="B27" s="5" t="s">
        <v>147</v>
      </c>
      <c r="C27" s="5" t="s">
        <v>148</v>
      </c>
      <c r="D27" s="9" t="s">
        <v>144</v>
      </c>
      <c r="E27" s="9" t="s">
        <v>149</v>
      </c>
      <c r="F27" s="5" t="s">
        <v>146</v>
      </c>
      <c r="G27" s="9" t="s">
        <v>71</v>
      </c>
      <c r="H27" s="9" t="s">
        <v>146</v>
      </c>
      <c r="I27" s="14"/>
      <c r="J27" s="14"/>
      <c r="K27" s="23"/>
      <c r="L27" s="5" t="str">
        <f t="shared" ca="1" si="2"/>
        <v/>
      </c>
      <c r="M27" s="19" t="str">
        <f t="shared" ca="1" si="1"/>
        <v>🔵 EN OPERACIÓN: TRANSPORTE</v>
      </c>
    </row>
    <row r="28" spans="1:13">
      <c r="A28" s="5">
        <v>24</v>
      </c>
      <c r="B28" s="5" t="s">
        <v>150</v>
      </c>
      <c r="C28" s="5" t="s">
        <v>151</v>
      </c>
      <c r="D28" s="9" t="s">
        <v>144</v>
      </c>
      <c r="E28" s="9" t="s">
        <v>152</v>
      </c>
      <c r="F28" s="5" t="s">
        <v>87</v>
      </c>
      <c r="G28" s="9" t="s">
        <v>117</v>
      </c>
      <c r="H28" s="9" t="s">
        <v>146</v>
      </c>
      <c r="I28" s="14">
        <v>46261</v>
      </c>
      <c r="J28" s="14">
        <v>46275</v>
      </c>
      <c r="K28" s="23"/>
      <c r="L28" s="5" t="str">
        <f t="shared" ca="1" si="2"/>
        <v>🟢 En Plazo (6 d rest.)</v>
      </c>
      <c r="M28" s="19" t="str">
        <f t="shared" ca="1" si="1"/>
        <v>🔴 NO OPERATIVO CRÍTICO</v>
      </c>
    </row>
    <row r="29" spans="1:13">
      <c r="A29" s="5">
        <v>25</v>
      </c>
      <c r="B29" s="5" t="s">
        <v>153</v>
      </c>
      <c r="C29" s="5" t="s">
        <v>154</v>
      </c>
      <c r="D29" s="9" t="s">
        <v>144</v>
      </c>
      <c r="E29" s="9" t="s">
        <v>149</v>
      </c>
      <c r="F29" s="5" t="s">
        <v>87</v>
      </c>
      <c r="G29" s="9" t="s">
        <v>117</v>
      </c>
      <c r="H29" s="9" t="s">
        <v>146</v>
      </c>
      <c r="I29" s="14">
        <v>46268</v>
      </c>
      <c r="J29" s="14">
        <v>46276</v>
      </c>
      <c r="K29" s="23"/>
      <c r="L29" s="5" t="str">
        <f t="shared" ca="1" si="2"/>
        <v>🟢 En Plazo (7 d rest.)</v>
      </c>
      <c r="M29" s="19" t="str">
        <f t="shared" ca="1" si="1"/>
        <v>🔴 NO OPERATIVO CRÍTICO</v>
      </c>
    </row>
    <row r="30" spans="1:13">
      <c r="A30" s="5">
        <v>26</v>
      </c>
      <c r="B30" s="5" t="s">
        <v>155</v>
      </c>
      <c r="C30" s="5" t="s">
        <v>156</v>
      </c>
      <c r="D30" s="9" t="s">
        <v>144</v>
      </c>
      <c r="E30" s="9" t="s">
        <v>157</v>
      </c>
      <c r="F30" s="5" t="s">
        <v>146</v>
      </c>
      <c r="G30" s="9" t="s">
        <v>71</v>
      </c>
      <c r="H30" s="9" t="s">
        <v>146</v>
      </c>
      <c r="I30" s="14"/>
      <c r="J30" s="14"/>
      <c r="K30" s="23"/>
      <c r="L30" s="5" t="str">
        <f t="shared" ca="1" si="2"/>
        <v/>
      </c>
      <c r="M30" s="19" t="str">
        <f t="shared" ca="1" si="1"/>
        <v>🔵 EN OPERACIÓN: TRANSPORTE</v>
      </c>
    </row>
    <row r="31" spans="1:13">
      <c r="A31" s="5">
        <v>27</v>
      </c>
      <c r="B31" s="5" t="s">
        <v>158</v>
      </c>
      <c r="C31" s="5" t="s">
        <v>159</v>
      </c>
      <c r="D31" s="9" t="s">
        <v>144</v>
      </c>
      <c r="E31" s="9" t="s">
        <v>160</v>
      </c>
      <c r="F31" s="5" t="s">
        <v>146</v>
      </c>
      <c r="G31" s="9" t="s">
        <v>71</v>
      </c>
      <c r="H31" s="9" t="s">
        <v>146</v>
      </c>
      <c r="I31" s="14"/>
      <c r="J31" s="14"/>
      <c r="K31" s="23"/>
      <c r="L31" s="5" t="str">
        <f t="shared" ca="1" si="2"/>
        <v/>
      </c>
      <c r="M31" s="19" t="str">
        <f t="shared" ca="1" si="1"/>
        <v>🔵 EN OPERACIÓN: TRANSPORTE</v>
      </c>
    </row>
    <row r="32" spans="1:13">
      <c r="A32" s="5">
        <v>28</v>
      </c>
      <c r="B32" s="5" t="s">
        <v>161</v>
      </c>
      <c r="C32" s="5" t="s">
        <v>162</v>
      </c>
      <c r="D32" s="9" t="s">
        <v>144</v>
      </c>
      <c r="E32" s="9" t="s">
        <v>160</v>
      </c>
      <c r="F32" s="5" t="s">
        <v>146</v>
      </c>
      <c r="G32" s="9" t="s">
        <v>71</v>
      </c>
      <c r="H32" s="9" t="s">
        <v>146</v>
      </c>
      <c r="I32" s="14"/>
      <c r="J32" s="14"/>
      <c r="K32" s="23"/>
      <c r="L32" s="5" t="str">
        <f t="shared" ca="1" si="2"/>
        <v/>
      </c>
      <c r="M32" s="19" t="str">
        <f t="shared" ca="1" si="1"/>
        <v>🔵 EN OPERACIÓN: TRANSPORTE</v>
      </c>
    </row>
    <row r="33" spans="1:13">
      <c r="A33" s="5">
        <v>29</v>
      </c>
      <c r="B33" s="5" t="s">
        <v>163</v>
      </c>
      <c r="C33" s="5" t="s">
        <v>164</v>
      </c>
      <c r="D33" s="9" t="s">
        <v>144</v>
      </c>
      <c r="E33" s="9" t="s">
        <v>160</v>
      </c>
      <c r="F33" s="5" t="s">
        <v>146</v>
      </c>
      <c r="G33" s="9" t="s">
        <v>71</v>
      </c>
      <c r="H33" s="9" t="s">
        <v>146</v>
      </c>
      <c r="I33" s="14"/>
      <c r="J33" s="14"/>
      <c r="K33" s="23"/>
      <c r="L33" s="5" t="str">
        <f t="shared" ca="1" si="2"/>
        <v/>
      </c>
      <c r="M33" s="19" t="str">
        <f t="shared" ca="1" si="1"/>
        <v>🔵 EN OPERACIÓN: TRANSPORTE</v>
      </c>
    </row>
    <row r="34" spans="1:13">
      <c r="A34" s="5">
        <v>30</v>
      </c>
      <c r="B34" s="5" t="s">
        <v>165</v>
      </c>
      <c r="C34" s="5" t="s">
        <v>166</v>
      </c>
      <c r="D34" s="9" t="s">
        <v>144</v>
      </c>
      <c r="E34" s="9" t="s">
        <v>160</v>
      </c>
      <c r="F34" s="5" t="s">
        <v>146</v>
      </c>
      <c r="G34" s="9" t="s">
        <v>71</v>
      </c>
      <c r="H34" s="9" t="s">
        <v>146</v>
      </c>
      <c r="I34" s="14"/>
      <c r="J34" s="14"/>
      <c r="K34" s="23"/>
      <c r="L34" s="5" t="str">
        <f t="shared" ca="1" si="2"/>
        <v/>
      </c>
      <c r="M34" s="19" t="str">
        <f t="shared" ca="1" si="1"/>
        <v>🔵 EN OPERACIÓN: TRANSPORTE</v>
      </c>
    </row>
    <row r="35" spans="1:13">
      <c r="A35" s="5">
        <v>31</v>
      </c>
      <c r="B35" s="5" t="s">
        <v>167</v>
      </c>
      <c r="C35" s="5" t="s">
        <v>168</v>
      </c>
      <c r="D35" s="9" t="s">
        <v>144</v>
      </c>
      <c r="E35" s="9" t="s">
        <v>160</v>
      </c>
      <c r="F35" s="5" t="s">
        <v>146</v>
      </c>
      <c r="G35" s="9" t="s">
        <v>71</v>
      </c>
      <c r="H35" s="9" t="s">
        <v>146</v>
      </c>
      <c r="I35" s="14"/>
      <c r="J35" s="14"/>
      <c r="K35" s="23"/>
      <c r="L35" s="5" t="str">
        <f t="shared" ca="1" si="2"/>
        <v/>
      </c>
      <c r="M35" s="19" t="str">
        <f t="shared" ca="1" si="1"/>
        <v>🔵 EN OPERACIÓN: TRANSPORTE</v>
      </c>
    </row>
    <row r="36" spans="1:13">
      <c r="A36" s="5">
        <v>32</v>
      </c>
      <c r="B36" s="5" t="s">
        <v>169</v>
      </c>
      <c r="C36" s="5" t="s">
        <v>170</v>
      </c>
      <c r="D36" s="9" t="s">
        <v>171</v>
      </c>
      <c r="E36" s="9" t="s">
        <v>172</v>
      </c>
      <c r="F36" s="5" t="s">
        <v>109</v>
      </c>
      <c r="G36" s="9" t="s">
        <v>83</v>
      </c>
      <c r="H36" s="9" t="s">
        <v>84</v>
      </c>
      <c r="I36" s="24"/>
      <c r="J36" s="14"/>
      <c r="K36" s="23"/>
      <c r="L36" s="5" t="str">
        <f t="shared" ca="1" si="2"/>
        <v/>
      </c>
      <c r="M36" s="19" t="str">
        <f t="shared" ca="1" si="1"/>
        <v>🟢 DISPONIBLE INMEDIATO</v>
      </c>
    </row>
    <row r="37" spans="1:13">
      <c r="A37" s="5">
        <v>33</v>
      </c>
      <c r="B37" s="5" t="s">
        <v>173</v>
      </c>
      <c r="C37" s="5" t="s">
        <v>174</v>
      </c>
      <c r="D37" s="9" t="s">
        <v>171</v>
      </c>
      <c r="E37" s="9" t="s">
        <v>172</v>
      </c>
      <c r="F37" s="5" t="s">
        <v>109</v>
      </c>
      <c r="G37" s="9" t="s">
        <v>83</v>
      </c>
      <c r="H37" s="9" t="s">
        <v>84</v>
      </c>
      <c r="I37" s="24"/>
      <c r="J37" s="14"/>
      <c r="K37" s="23"/>
      <c r="L37" s="5" t="str">
        <f t="shared" ca="1" si="2"/>
        <v/>
      </c>
      <c r="M37" s="19" t="str">
        <f t="shared" ref="M37:M68" ca="1" si="3">IF(G37="","", IF(ISNUMBER(SEARCH("DISPONIBLE", G37)), "🟢 DISPONIBLE INMEDIATO", IF(ISNUMBER(SEARCH("MANDANTE", G37)), IF(H37&lt;&gt;"","🔵 EN OPERACIÓN: " &amp; H37,"🔵 EN OPERACIÓN"), IF(ISNUMBER(SEARCH("NO OPERATIVO", G37)), "🔴 NO OPERATIVO CRÍTICO", IF(K37&lt;&gt;"", "🟢 SALIÓ DE TALLER (DISPONIBLE)", IF(J37="", "🔴 EN TALLER (Falta Fecha Jefe Taller)", IF(TODAY()&gt;J37, "🔴 DEMORA / RETRASO EN TALLER", IF(J37-TODAY()&lt;=2, "🟡 YA POR SALIR DEL TALLER", "🟡 EN MANTENCIÓN SEGÚN PROGRAMA"))))))))</f>
        <v>🟢 DISPONIBLE INMEDIATO</v>
      </c>
    </row>
    <row r="38" spans="1:13">
      <c r="A38" s="5">
        <v>34</v>
      </c>
      <c r="B38" s="5" t="s">
        <v>175</v>
      </c>
      <c r="C38" s="5" t="s">
        <v>176</v>
      </c>
      <c r="D38" s="9" t="s">
        <v>171</v>
      </c>
      <c r="E38" s="9" t="s">
        <v>177</v>
      </c>
      <c r="F38" s="5" t="s">
        <v>109</v>
      </c>
      <c r="G38" s="9" t="s">
        <v>83</v>
      </c>
      <c r="H38" s="9" t="s">
        <v>84</v>
      </c>
      <c r="I38" s="24"/>
      <c r="J38" s="14"/>
      <c r="K38" s="23"/>
      <c r="L38" s="5" t="str">
        <f t="shared" ca="1" si="2"/>
        <v/>
      </c>
      <c r="M38" s="19" t="str">
        <f t="shared" ca="1" si="3"/>
        <v>🟢 DISPONIBLE INMEDIATO</v>
      </c>
    </row>
    <row r="39" spans="1:13">
      <c r="A39" s="5">
        <v>35</v>
      </c>
      <c r="B39" s="5" t="s">
        <v>178</v>
      </c>
      <c r="C39" s="5" t="s">
        <v>179</v>
      </c>
      <c r="D39" s="9" t="s">
        <v>171</v>
      </c>
      <c r="E39" s="9" t="s">
        <v>180</v>
      </c>
      <c r="F39" s="5" t="s">
        <v>70</v>
      </c>
      <c r="G39" s="9" t="s">
        <v>71</v>
      </c>
      <c r="H39" s="9" t="s">
        <v>44</v>
      </c>
      <c r="I39" s="14"/>
      <c r="J39" s="14"/>
      <c r="K39" s="23"/>
      <c r="L39" s="5" t="str">
        <f t="shared" ca="1" si="2"/>
        <v/>
      </c>
      <c r="M39" s="19" t="str">
        <f t="shared" ca="1" si="3"/>
        <v>🔵 EN OPERACIÓN: FG COVER (Fenix Gold)</v>
      </c>
    </row>
    <row r="40" spans="1:13">
      <c r="A40" s="5">
        <v>36</v>
      </c>
      <c r="B40" s="5" t="s">
        <v>181</v>
      </c>
      <c r="C40" s="5" t="s">
        <v>182</v>
      </c>
      <c r="D40" s="9" t="s">
        <v>171</v>
      </c>
      <c r="E40" s="9" t="s">
        <v>180</v>
      </c>
      <c r="F40" s="5" t="s">
        <v>70</v>
      </c>
      <c r="G40" s="9" t="s">
        <v>71</v>
      </c>
      <c r="H40" s="9" t="s">
        <v>44</v>
      </c>
      <c r="I40" s="14"/>
      <c r="J40" s="14"/>
      <c r="K40" s="23"/>
      <c r="L40" s="5" t="str">
        <f t="shared" ca="1" si="2"/>
        <v/>
      </c>
      <c r="M40" s="19" t="str">
        <f t="shared" ca="1" si="3"/>
        <v>🔵 EN OPERACIÓN: FG COVER (Fenix Gold)</v>
      </c>
    </row>
    <row r="41" spans="1:13">
      <c r="A41" s="5">
        <v>37</v>
      </c>
      <c r="B41" s="5" t="s">
        <v>183</v>
      </c>
      <c r="C41" s="5" t="s">
        <v>184</v>
      </c>
      <c r="D41" s="9" t="s">
        <v>171</v>
      </c>
      <c r="E41" s="9" t="s">
        <v>180</v>
      </c>
      <c r="F41" s="5" t="s">
        <v>70</v>
      </c>
      <c r="G41" s="9" t="s">
        <v>71</v>
      </c>
      <c r="H41" s="9" t="s">
        <v>44</v>
      </c>
      <c r="I41" s="14"/>
      <c r="J41" s="14"/>
      <c r="K41" s="23"/>
      <c r="L41" s="5" t="str">
        <f t="shared" ca="1" si="2"/>
        <v/>
      </c>
      <c r="M41" s="19" t="str">
        <f t="shared" ca="1" si="3"/>
        <v>🔵 EN OPERACIÓN: FG COVER (Fenix Gold)</v>
      </c>
    </row>
    <row r="42" spans="1:13">
      <c r="A42" s="5">
        <v>38</v>
      </c>
      <c r="B42" s="5" t="s">
        <v>185</v>
      </c>
      <c r="C42" s="5" t="s">
        <v>186</v>
      </c>
      <c r="D42" s="9" t="s">
        <v>171</v>
      </c>
      <c r="E42" s="9" t="s">
        <v>180</v>
      </c>
      <c r="F42" s="5" t="s">
        <v>70</v>
      </c>
      <c r="G42" s="9" t="s">
        <v>71</v>
      </c>
      <c r="H42" s="9" t="s">
        <v>44</v>
      </c>
      <c r="I42" s="14"/>
      <c r="J42" s="14"/>
      <c r="K42" s="23"/>
      <c r="L42" s="5" t="str">
        <f t="shared" ca="1" si="2"/>
        <v/>
      </c>
      <c r="M42" s="19" t="str">
        <f t="shared" ca="1" si="3"/>
        <v>🔵 EN OPERACIÓN: FG COVER (Fenix Gold)</v>
      </c>
    </row>
    <row r="43" spans="1:13">
      <c r="A43" s="5">
        <v>39</v>
      </c>
      <c r="B43" s="5" t="s">
        <v>187</v>
      </c>
      <c r="C43" s="5" t="s">
        <v>188</v>
      </c>
      <c r="D43" s="9" t="s">
        <v>189</v>
      </c>
      <c r="E43" s="9" t="s">
        <v>190</v>
      </c>
      <c r="F43" s="5" t="s">
        <v>146</v>
      </c>
      <c r="G43" s="9" t="s">
        <v>83</v>
      </c>
      <c r="H43" s="9" t="s">
        <v>146</v>
      </c>
      <c r="I43" s="14"/>
      <c r="J43" s="14"/>
      <c r="K43" s="23"/>
      <c r="L43" s="5" t="str">
        <f t="shared" ca="1" si="2"/>
        <v/>
      </c>
      <c r="M43" s="19" t="str">
        <f t="shared" ca="1" si="3"/>
        <v>🟢 DISPONIBLE INMEDIATO</v>
      </c>
    </row>
    <row r="44" spans="1:13">
      <c r="A44" s="5">
        <v>40</v>
      </c>
      <c r="B44" s="5" t="s">
        <v>191</v>
      </c>
      <c r="C44" s="5" t="s">
        <v>192</v>
      </c>
      <c r="D44" s="9" t="s">
        <v>189</v>
      </c>
      <c r="E44" s="9" t="s">
        <v>193</v>
      </c>
      <c r="F44" s="5" t="s">
        <v>146</v>
      </c>
      <c r="G44" s="9" t="s">
        <v>83</v>
      </c>
      <c r="H44" s="9" t="s">
        <v>146</v>
      </c>
      <c r="I44" s="14"/>
      <c r="J44" s="14"/>
      <c r="K44" s="23"/>
      <c r="L44" s="5" t="str">
        <f t="shared" ca="1" si="2"/>
        <v/>
      </c>
      <c r="M44" s="19" t="str">
        <f t="shared" ca="1" si="3"/>
        <v>🟢 DISPONIBLE INMEDIATO</v>
      </c>
    </row>
    <row r="45" spans="1:13">
      <c r="A45" s="5">
        <v>41</v>
      </c>
      <c r="B45" s="5" t="s">
        <v>194</v>
      </c>
      <c r="C45" s="5" t="s">
        <v>195</v>
      </c>
      <c r="D45" s="9" t="s">
        <v>196</v>
      </c>
      <c r="E45" s="9" t="s">
        <v>197</v>
      </c>
      <c r="F45" s="5" t="s">
        <v>146</v>
      </c>
      <c r="G45" s="9" t="s">
        <v>83</v>
      </c>
      <c r="H45" s="9" t="s">
        <v>146</v>
      </c>
      <c r="I45" s="14"/>
      <c r="J45" s="14"/>
      <c r="K45" s="23"/>
      <c r="L45" s="5" t="str">
        <f t="shared" ca="1" si="2"/>
        <v/>
      </c>
      <c r="M45" s="19" t="str">
        <f t="shared" ca="1" si="3"/>
        <v>🟢 DISPONIBLE INMEDIATO</v>
      </c>
    </row>
    <row r="46" spans="1:13">
      <c r="A46" s="5">
        <v>42</v>
      </c>
      <c r="B46" s="5" t="s">
        <v>198</v>
      </c>
      <c r="C46" s="5" t="s">
        <v>199</v>
      </c>
      <c r="D46" s="9" t="s">
        <v>196</v>
      </c>
      <c r="E46" s="9" t="s">
        <v>200</v>
      </c>
      <c r="F46" s="5" t="s">
        <v>146</v>
      </c>
      <c r="G46" s="9" t="s">
        <v>83</v>
      </c>
      <c r="H46" s="9" t="s">
        <v>146</v>
      </c>
      <c r="I46" s="14"/>
      <c r="J46" s="14"/>
      <c r="K46" s="23"/>
      <c r="L46" s="5" t="str">
        <f t="shared" ca="1" si="2"/>
        <v/>
      </c>
      <c r="M46" s="19" t="str">
        <f t="shared" ca="1" si="3"/>
        <v>🟢 DISPONIBLE INMEDIATO</v>
      </c>
    </row>
    <row r="47" spans="1:13">
      <c r="A47" s="5">
        <v>43</v>
      </c>
      <c r="B47" s="5" t="s">
        <v>201</v>
      </c>
      <c r="C47" s="5" t="s">
        <v>202</v>
      </c>
      <c r="D47" s="9" t="s">
        <v>203</v>
      </c>
      <c r="E47" s="9" t="s">
        <v>204</v>
      </c>
      <c r="F47" s="5" t="s">
        <v>146</v>
      </c>
      <c r="G47" s="9" t="s">
        <v>83</v>
      </c>
      <c r="H47" s="9" t="s">
        <v>146</v>
      </c>
      <c r="I47" s="14"/>
      <c r="J47" s="14"/>
      <c r="K47" s="23"/>
      <c r="L47" s="5" t="str">
        <f t="shared" ca="1" si="2"/>
        <v/>
      </c>
      <c r="M47" s="19" t="str">
        <f t="shared" ca="1" si="3"/>
        <v>🟢 DISPONIBLE INMEDIATO</v>
      </c>
    </row>
    <row r="48" spans="1:13">
      <c r="A48" s="5">
        <v>44</v>
      </c>
      <c r="B48" s="5" t="s">
        <v>205</v>
      </c>
      <c r="C48" s="5" t="s">
        <v>206</v>
      </c>
      <c r="D48" s="9" t="s">
        <v>203</v>
      </c>
      <c r="E48" s="9" t="s">
        <v>204</v>
      </c>
      <c r="F48" s="5" t="s">
        <v>146</v>
      </c>
      <c r="G48" s="9" t="s">
        <v>83</v>
      </c>
      <c r="H48" s="9" t="s">
        <v>146</v>
      </c>
      <c r="I48" s="14"/>
      <c r="J48" s="14"/>
      <c r="K48" s="23"/>
      <c r="L48" s="5" t="str">
        <f t="shared" ca="1" si="2"/>
        <v/>
      </c>
      <c r="M48" s="19" t="str">
        <f t="shared" ca="1" si="3"/>
        <v>🟢 DISPONIBLE INMEDIATO</v>
      </c>
    </row>
    <row r="49" spans="1:13">
      <c r="A49" s="5">
        <v>45</v>
      </c>
      <c r="B49" s="5" t="s">
        <v>207</v>
      </c>
      <c r="C49" s="5" t="s">
        <v>208</v>
      </c>
      <c r="D49" s="9" t="s">
        <v>203</v>
      </c>
      <c r="E49" s="9" t="s">
        <v>209</v>
      </c>
      <c r="F49" s="5" t="s">
        <v>146</v>
      </c>
      <c r="G49" s="9" t="s">
        <v>83</v>
      </c>
      <c r="H49" s="9" t="s">
        <v>146</v>
      </c>
      <c r="I49" s="14"/>
      <c r="J49" s="14"/>
      <c r="K49" s="23"/>
      <c r="L49" s="5" t="str">
        <f t="shared" ca="1" si="2"/>
        <v/>
      </c>
      <c r="M49" s="19" t="str">
        <f t="shared" ca="1" si="3"/>
        <v>🟢 DISPONIBLE INMEDIATO</v>
      </c>
    </row>
    <row r="50" spans="1:13">
      <c r="A50" s="5">
        <v>46</v>
      </c>
      <c r="B50" s="5" t="s">
        <v>210</v>
      </c>
      <c r="C50" s="5" t="s">
        <v>211</v>
      </c>
      <c r="D50" s="9" t="s">
        <v>203</v>
      </c>
      <c r="E50" s="9" t="s">
        <v>204</v>
      </c>
      <c r="F50" s="5" t="s">
        <v>146</v>
      </c>
      <c r="G50" s="9" t="s">
        <v>83</v>
      </c>
      <c r="H50" s="9" t="s">
        <v>146</v>
      </c>
      <c r="I50" s="14"/>
      <c r="J50" s="14"/>
      <c r="K50" s="23"/>
      <c r="L50" s="5" t="str">
        <f t="shared" ca="1" si="2"/>
        <v/>
      </c>
      <c r="M50" s="19" t="str">
        <f t="shared" ca="1" si="3"/>
        <v>🟢 DISPONIBLE INMEDIATO</v>
      </c>
    </row>
    <row r="51" spans="1:13">
      <c r="A51" s="5">
        <v>47</v>
      </c>
      <c r="B51" s="5" t="s">
        <v>212</v>
      </c>
      <c r="C51" s="5" t="s">
        <v>213</v>
      </c>
      <c r="D51" s="9" t="s">
        <v>203</v>
      </c>
      <c r="E51" s="9" t="s">
        <v>204</v>
      </c>
      <c r="F51" s="5" t="s">
        <v>146</v>
      </c>
      <c r="G51" s="9" t="s">
        <v>83</v>
      </c>
      <c r="H51" s="9" t="s">
        <v>146</v>
      </c>
      <c r="I51" s="14"/>
      <c r="J51" s="14"/>
      <c r="K51" s="23"/>
      <c r="L51" s="5" t="str">
        <f t="shared" ca="1" si="2"/>
        <v/>
      </c>
      <c r="M51" s="19" t="str">
        <f t="shared" ca="1" si="3"/>
        <v>🟢 DISPONIBLE INMEDIATO</v>
      </c>
    </row>
    <row r="52" spans="1:13">
      <c r="A52" s="5">
        <v>48</v>
      </c>
      <c r="B52" s="5" t="s">
        <v>214</v>
      </c>
      <c r="C52" s="5" t="s">
        <v>215</v>
      </c>
      <c r="D52" s="9" t="s">
        <v>203</v>
      </c>
      <c r="E52" s="9" t="s">
        <v>204</v>
      </c>
      <c r="F52" s="5" t="s">
        <v>146</v>
      </c>
      <c r="G52" s="9" t="s">
        <v>83</v>
      </c>
      <c r="H52" s="9" t="s">
        <v>146</v>
      </c>
      <c r="I52" s="14"/>
      <c r="J52" s="14"/>
      <c r="K52" s="23"/>
      <c r="L52" s="5" t="str">
        <f t="shared" ca="1" si="2"/>
        <v/>
      </c>
      <c r="M52" s="19" t="str">
        <f t="shared" ca="1" si="3"/>
        <v>🟢 DISPONIBLE INMEDIATO</v>
      </c>
    </row>
    <row r="53" spans="1:13">
      <c r="A53" s="5">
        <v>49</v>
      </c>
      <c r="B53" s="5" t="s">
        <v>216</v>
      </c>
      <c r="C53" s="5" t="s">
        <v>217</v>
      </c>
      <c r="D53" s="9" t="s">
        <v>203</v>
      </c>
      <c r="E53" s="9" t="s">
        <v>204</v>
      </c>
      <c r="F53" s="5" t="s">
        <v>146</v>
      </c>
      <c r="G53" s="9" t="s">
        <v>83</v>
      </c>
      <c r="H53" s="9" t="s">
        <v>146</v>
      </c>
      <c r="I53" s="14"/>
      <c r="J53" s="14"/>
      <c r="K53" s="23"/>
      <c r="L53" s="5" t="str">
        <f t="shared" ca="1" si="2"/>
        <v/>
      </c>
      <c r="M53" s="19" t="str">
        <f t="shared" ca="1" si="3"/>
        <v>🟢 DISPONIBLE INMEDIATO</v>
      </c>
    </row>
    <row r="54" spans="1:13">
      <c r="A54" s="5">
        <v>50</v>
      </c>
      <c r="B54" s="5" t="s">
        <v>218</v>
      </c>
      <c r="C54" s="5" t="s">
        <v>219</v>
      </c>
      <c r="D54" s="9" t="s">
        <v>203</v>
      </c>
      <c r="E54" s="9" t="s">
        <v>204</v>
      </c>
      <c r="F54" s="5" t="s">
        <v>146</v>
      </c>
      <c r="G54" s="9" t="s">
        <v>83</v>
      </c>
      <c r="H54" s="9" t="s">
        <v>146</v>
      </c>
      <c r="I54" s="14"/>
      <c r="J54" s="14"/>
      <c r="K54" s="23"/>
      <c r="L54" s="5" t="str">
        <f t="shared" ca="1" si="2"/>
        <v/>
      </c>
      <c r="M54" s="19" t="str">
        <f t="shared" ca="1" si="3"/>
        <v>🟢 DISPONIBLE INMEDIATO</v>
      </c>
    </row>
    <row r="55" spans="1:13">
      <c r="A55" s="5">
        <v>51</v>
      </c>
      <c r="B55" s="5" t="s">
        <v>220</v>
      </c>
      <c r="C55" s="5" t="s">
        <v>221</v>
      </c>
      <c r="D55" s="9" t="s">
        <v>203</v>
      </c>
      <c r="E55" s="9" t="s">
        <v>204</v>
      </c>
      <c r="F55" s="5" t="s">
        <v>146</v>
      </c>
      <c r="G55" s="9" t="s">
        <v>83</v>
      </c>
      <c r="H55" s="9" t="s">
        <v>146</v>
      </c>
      <c r="I55" s="14"/>
      <c r="J55" s="14"/>
      <c r="K55" s="23"/>
      <c r="L55" s="5" t="str">
        <f t="shared" ca="1" si="2"/>
        <v/>
      </c>
      <c r="M55" s="19" t="str">
        <f t="shared" ca="1" si="3"/>
        <v>🟢 DISPONIBLE INMEDIATO</v>
      </c>
    </row>
    <row r="56" spans="1:13">
      <c r="A56" s="5">
        <v>52</v>
      </c>
      <c r="B56" s="5" t="s">
        <v>222</v>
      </c>
      <c r="C56" s="5" t="s">
        <v>223</v>
      </c>
      <c r="D56" s="9" t="s">
        <v>203</v>
      </c>
      <c r="E56" s="9" t="s">
        <v>204</v>
      </c>
      <c r="F56" s="5" t="s">
        <v>146</v>
      </c>
      <c r="G56" s="9" t="s">
        <v>83</v>
      </c>
      <c r="H56" s="9" t="s">
        <v>146</v>
      </c>
      <c r="I56" s="14"/>
      <c r="J56" s="14"/>
      <c r="K56" s="23"/>
      <c r="L56" s="5" t="str">
        <f t="shared" ca="1" si="2"/>
        <v/>
      </c>
      <c r="M56" s="19" t="str">
        <f t="shared" ca="1" si="3"/>
        <v>🟢 DISPONIBLE INMEDIATO</v>
      </c>
    </row>
    <row r="57" spans="1:13">
      <c r="A57" s="5">
        <v>53</v>
      </c>
      <c r="B57" s="5" t="s">
        <v>224</v>
      </c>
      <c r="C57" s="5" t="s">
        <v>225</v>
      </c>
      <c r="D57" s="9" t="s">
        <v>203</v>
      </c>
      <c r="E57" s="9" t="s">
        <v>226</v>
      </c>
      <c r="F57" s="5" t="s">
        <v>146</v>
      </c>
      <c r="G57" s="9" t="s">
        <v>83</v>
      </c>
      <c r="H57" s="9" t="s">
        <v>146</v>
      </c>
      <c r="I57" s="14"/>
      <c r="J57" s="14"/>
      <c r="K57" s="23"/>
      <c r="L57" s="5" t="str">
        <f t="shared" ca="1" si="2"/>
        <v/>
      </c>
      <c r="M57" s="19" t="str">
        <f t="shared" ca="1" si="3"/>
        <v>🟢 DISPONIBLE INMEDIATO</v>
      </c>
    </row>
    <row r="58" spans="1:13">
      <c r="A58" s="5">
        <v>54</v>
      </c>
      <c r="B58" s="5" t="s">
        <v>227</v>
      </c>
      <c r="C58" s="5" t="s">
        <v>227</v>
      </c>
      <c r="D58" s="9" t="s">
        <v>203</v>
      </c>
      <c r="E58" s="9" t="s">
        <v>228</v>
      </c>
      <c r="F58" s="5" t="s">
        <v>109</v>
      </c>
      <c r="G58" s="9" t="s">
        <v>117</v>
      </c>
      <c r="H58" s="9"/>
      <c r="I58" s="14"/>
      <c r="J58" s="14"/>
      <c r="K58" s="23"/>
      <c r="L58" s="5" t="str">
        <f t="shared" ca="1" si="2"/>
        <v/>
      </c>
      <c r="M58" s="19" t="str">
        <f t="shared" ca="1" si="3"/>
        <v>🔴 NO OPERATIVO CRÍTICO</v>
      </c>
    </row>
    <row r="59" spans="1:13">
      <c r="A59" s="5">
        <v>55</v>
      </c>
      <c r="B59" s="5" t="s">
        <v>229</v>
      </c>
      <c r="C59" s="5" t="s">
        <v>230</v>
      </c>
      <c r="D59" s="9" t="s">
        <v>203</v>
      </c>
      <c r="E59" s="9" t="s">
        <v>231</v>
      </c>
      <c r="F59" s="5" t="s">
        <v>146</v>
      </c>
      <c r="G59" s="9" t="s">
        <v>71</v>
      </c>
      <c r="H59" s="9" t="s">
        <v>146</v>
      </c>
      <c r="I59" s="14"/>
      <c r="J59" s="14"/>
      <c r="K59" s="23"/>
      <c r="L59" s="5" t="str">
        <f t="shared" ca="1" si="2"/>
        <v/>
      </c>
      <c r="M59" s="19" t="str">
        <f t="shared" ca="1" si="3"/>
        <v>🔵 EN OPERACIÓN: TRANSPORTE</v>
      </c>
    </row>
    <row r="60" spans="1:13">
      <c r="A60" s="5">
        <v>56</v>
      </c>
      <c r="B60" s="5" t="s">
        <v>232</v>
      </c>
      <c r="C60" s="5" t="s">
        <v>233</v>
      </c>
      <c r="D60" s="9" t="s">
        <v>234</v>
      </c>
      <c r="E60" s="9" t="s">
        <v>235</v>
      </c>
      <c r="F60" s="5" t="s">
        <v>87</v>
      </c>
      <c r="G60" s="9" t="s">
        <v>83</v>
      </c>
      <c r="H60" s="9" t="s">
        <v>84</v>
      </c>
      <c r="I60" s="14"/>
      <c r="J60" s="14"/>
      <c r="K60" s="23"/>
      <c r="L60" s="5" t="str">
        <f t="shared" ca="1" si="2"/>
        <v/>
      </c>
      <c r="M60" s="19" t="str">
        <f t="shared" ca="1" si="3"/>
        <v>🟢 DISPONIBLE INMEDIATO</v>
      </c>
    </row>
    <row r="61" spans="1:13">
      <c r="A61" s="5">
        <v>57</v>
      </c>
      <c r="B61" s="5" t="s">
        <v>236</v>
      </c>
      <c r="C61" s="5" t="s">
        <v>237</v>
      </c>
      <c r="D61" s="9" t="s">
        <v>234</v>
      </c>
      <c r="E61" s="9" t="s">
        <v>238</v>
      </c>
      <c r="F61" s="5" t="s">
        <v>239</v>
      </c>
      <c r="G61" s="9" t="s">
        <v>83</v>
      </c>
      <c r="H61" s="9" t="s">
        <v>84</v>
      </c>
      <c r="I61" s="14"/>
      <c r="J61" s="14"/>
      <c r="K61" s="23"/>
      <c r="L61" s="5" t="str">
        <f t="shared" ca="1" si="2"/>
        <v/>
      </c>
      <c r="M61" s="19" t="str">
        <f t="shared" ca="1" si="3"/>
        <v>🟢 DISPONIBLE INMEDIATO</v>
      </c>
    </row>
    <row r="62" spans="1:13">
      <c r="A62" s="5">
        <v>58</v>
      </c>
      <c r="B62" s="5" t="s">
        <v>240</v>
      </c>
      <c r="C62" s="5" t="s">
        <v>241</v>
      </c>
      <c r="D62" s="9" t="s">
        <v>234</v>
      </c>
      <c r="E62" s="9" t="s">
        <v>242</v>
      </c>
      <c r="F62" s="5" t="s">
        <v>243</v>
      </c>
      <c r="G62" s="9" t="s">
        <v>83</v>
      </c>
      <c r="H62" s="9" t="s">
        <v>244</v>
      </c>
      <c r="I62" s="14"/>
      <c r="J62" s="14"/>
      <c r="K62" s="23"/>
      <c r="L62" s="5" t="str">
        <f t="shared" ca="1" si="2"/>
        <v/>
      </c>
      <c r="M62" s="19" t="str">
        <f t="shared" ca="1" si="3"/>
        <v>🟢 DISPONIBLE INMEDIATO</v>
      </c>
    </row>
    <row r="63" spans="1:13">
      <c r="A63" s="5">
        <v>59</v>
      </c>
      <c r="B63" s="5" t="s">
        <v>245</v>
      </c>
      <c r="C63" s="5" t="s">
        <v>246</v>
      </c>
      <c r="D63" s="9" t="s">
        <v>234</v>
      </c>
      <c r="E63" s="9" t="s">
        <v>242</v>
      </c>
      <c r="F63" s="5" t="s">
        <v>146</v>
      </c>
      <c r="G63" s="9" t="s">
        <v>83</v>
      </c>
      <c r="H63" s="9" t="s">
        <v>146</v>
      </c>
      <c r="I63" s="14"/>
      <c r="J63" s="14"/>
      <c r="K63" s="23"/>
      <c r="L63" s="5" t="str">
        <f t="shared" ca="1" si="2"/>
        <v/>
      </c>
      <c r="M63" s="19" t="str">
        <f t="shared" ca="1" si="3"/>
        <v>🟢 DISPONIBLE INMEDIATO</v>
      </c>
    </row>
    <row r="64" spans="1:13">
      <c r="A64" s="5">
        <v>60</v>
      </c>
      <c r="B64" s="5" t="s">
        <v>247</v>
      </c>
      <c r="C64" s="5" t="s">
        <v>248</v>
      </c>
      <c r="D64" s="9" t="s">
        <v>234</v>
      </c>
      <c r="E64" s="9" t="s">
        <v>249</v>
      </c>
      <c r="F64" s="5" t="s">
        <v>250</v>
      </c>
      <c r="G64" s="9" t="s">
        <v>83</v>
      </c>
      <c r="H64" s="9" t="s">
        <v>251</v>
      </c>
      <c r="I64" s="14"/>
      <c r="J64" s="14"/>
      <c r="K64" s="23"/>
      <c r="L64" s="5" t="str">
        <f t="shared" ca="1" si="2"/>
        <v/>
      </c>
      <c r="M64" s="19" t="str">
        <f t="shared" ca="1" si="3"/>
        <v>🟢 DISPONIBLE INMEDIATO</v>
      </c>
    </row>
    <row r="65" spans="1:13">
      <c r="A65" s="5">
        <v>61</v>
      </c>
      <c r="B65" s="5" t="s">
        <v>252</v>
      </c>
      <c r="C65" s="5" t="s">
        <v>253</v>
      </c>
      <c r="D65" s="9" t="s">
        <v>234</v>
      </c>
      <c r="E65" s="9" t="s">
        <v>254</v>
      </c>
      <c r="F65" s="5" t="s">
        <v>87</v>
      </c>
      <c r="G65" s="9" t="s">
        <v>83</v>
      </c>
      <c r="H65" s="9" t="s">
        <v>84</v>
      </c>
      <c r="I65" s="14"/>
      <c r="J65" s="14"/>
      <c r="K65" s="23"/>
      <c r="L65" s="5" t="str">
        <f t="shared" ca="1" si="2"/>
        <v/>
      </c>
      <c r="M65" s="19" t="str">
        <f t="shared" ca="1" si="3"/>
        <v>🟢 DISPONIBLE INMEDIATO</v>
      </c>
    </row>
    <row r="66" spans="1:13">
      <c r="A66" s="5">
        <v>62</v>
      </c>
      <c r="B66" s="5" t="s">
        <v>255</v>
      </c>
      <c r="C66" s="5" t="s">
        <v>256</v>
      </c>
      <c r="D66" s="9" t="s">
        <v>234</v>
      </c>
      <c r="E66" s="9" t="s">
        <v>257</v>
      </c>
      <c r="F66" s="5" t="s">
        <v>258</v>
      </c>
      <c r="G66" s="9" t="s">
        <v>83</v>
      </c>
      <c r="H66" s="9" t="s">
        <v>84</v>
      </c>
      <c r="I66" s="14"/>
      <c r="J66" s="14"/>
      <c r="K66" s="23"/>
      <c r="L66" s="5" t="str">
        <f t="shared" ca="1" si="2"/>
        <v/>
      </c>
      <c r="M66" s="19" t="str">
        <f t="shared" ca="1" si="3"/>
        <v>🟢 DISPONIBLE INMEDIATO</v>
      </c>
    </row>
    <row r="67" spans="1:13">
      <c r="A67" s="5">
        <v>63</v>
      </c>
      <c r="B67" s="5" t="s">
        <v>259</v>
      </c>
      <c r="C67" s="5" t="s">
        <v>260</v>
      </c>
      <c r="D67" s="9" t="s">
        <v>234</v>
      </c>
      <c r="E67" s="9" t="s">
        <v>254</v>
      </c>
      <c r="F67" s="5" t="s">
        <v>261</v>
      </c>
      <c r="G67" s="9" t="s">
        <v>83</v>
      </c>
      <c r="H67" s="9" t="s">
        <v>84</v>
      </c>
      <c r="I67" s="14"/>
      <c r="J67" s="14"/>
      <c r="K67" s="23"/>
      <c r="L67" s="5" t="str">
        <f t="shared" ca="1" si="2"/>
        <v/>
      </c>
      <c r="M67" s="19" t="str">
        <f t="shared" ca="1" si="3"/>
        <v>🟢 DISPONIBLE INMEDIATO</v>
      </c>
    </row>
    <row r="68" spans="1:13">
      <c r="A68" s="5">
        <v>64</v>
      </c>
      <c r="B68" s="5" t="s">
        <v>262</v>
      </c>
      <c r="C68" s="5" t="s">
        <v>263</v>
      </c>
      <c r="D68" s="9" t="s">
        <v>264</v>
      </c>
      <c r="E68" s="9" t="s">
        <v>265</v>
      </c>
      <c r="F68" s="5" t="s">
        <v>123</v>
      </c>
      <c r="G68" s="9" t="s">
        <v>71</v>
      </c>
      <c r="H68" s="9" t="s">
        <v>123</v>
      </c>
      <c r="I68" s="14"/>
      <c r="J68" s="14"/>
      <c r="K68" s="23"/>
      <c r="L68" s="5" t="str">
        <f t="shared" ca="1" si="2"/>
        <v/>
      </c>
      <c r="M68" s="19" t="str">
        <f t="shared" ca="1" si="3"/>
        <v>🔵 EN OPERACIÓN: FG OOCC</v>
      </c>
    </row>
    <row r="69" spans="1:13">
      <c r="A69" s="5">
        <v>65</v>
      </c>
      <c r="B69" s="5" t="s">
        <v>266</v>
      </c>
      <c r="C69" s="5" t="s">
        <v>267</v>
      </c>
      <c r="D69" s="9" t="s">
        <v>264</v>
      </c>
      <c r="E69" s="9" t="s">
        <v>268</v>
      </c>
      <c r="F69" s="5" t="s">
        <v>123</v>
      </c>
      <c r="G69" s="9" t="s">
        <v>71</v>
      </c>
      <c r="H69" s="9" t="s">
        <v>123</v>
      </c>
      <c r="I69" s="14"/>
      <c r="J69" s="14"/>
      <c r="K69" s="23"/>
      <c r="L69" s="5" t="str">
        <f t="shared" ca="1" si="2"/>
        <v/>
      </c>
      <c r="M69" s="19" t="str">
        <f t="shared" ref="M69:M85" ca="1" si="4">IF(G69="","", IF(ISNUMBER(SEARCH("DISPONIBLE", G69)), "🟢 DISPONIBLE INMEDIATO", IF(ISNUMBER(SEARCH("MANDANTE", G69)), IF(H69&lt;&gt;"","🔵 EN OPERACIÓN: " &amp; H69,"🔵 EN OPERACIÓN"), IF(ISNUMBER(SEARCH("NO OPERATIVO", G69)), "🔴 NO OPERATIVO CRÍTICO", IF(K69&lt;&gt;"", "🟢 SALIÓ DE TALLER (DISPONIBLE)", IF(J69="", "🔴 EN TALLER (Falta Fecha Jefe Taller)", IF(TODAY()&gt;J69, "🔴 DEMORA / RETRASO EN TALLER", IF(J69-TODAY()&lt;=2, "🟡 YA POR SALIR DEL TALLER", "🟡 EN MANTENCIÓN SEGÚN PROGRAMA"))))))))</f>
        <v>🔵 EN OPERACIÓN: FG OOCC</v>
      </c>
    </row>
    <row r="70" spans="1:13">
      <c r="A70" s="5">
        <v>66</v>
      </c>
      <c r="B70" s="5" t="s">
        <v>269</v>
      </c>
      <c r="C70" s="5" t="s">
        <v>270</v>
      </c>
      <c r="D70" s="9" t="s">
        <v>264</v>
      </c>
      <c r="E70" s="9" t="s">
        <v>268</v>
      </c>
      <c r="F70" s="5" t="s">
        <v>123</v>
      </c>
      <c r="G70" s="9" t="s">
        <v>71</v>
      </c>
      <c r="H70" s="9" t="s">
        <v>123</v>
      </c>
      <c r="I70" s="14"/>
      <c r="J70" s="14"/>
      <c r="K70" s="23"/>
      <c r="L70" s="5" t="str">
        <f t="shared" ca="1" si="2"/>
        <v/>
      </c>
      <c r="M70" s="19" t="str">
        <f t="shared" ca="1" si="4"/>
        <v>🔵 EN OPERACIÓN: FG OOCC</v>
      </c>
    </row>
    <row r="71" spans="1:13">
      <c r="A71" s="5">
        <v>67</v>
      </c>
      <c r="B71" s="5" t="s">
        <v>271</v>
      </c>
      <c r="C71" s="5" t="s">
        <v>271</v>
      </c>
      <c r="D71" s="9" t="s">
        <v>272</v>
      </c>
      <c r="E71" s="9" t="s">
        <v>273</v>
      </c>
      <c r="F71" s="5" t="s">
        <v>109</v>
      </c>
      <c r="G71" s="9" t="s">
        <v>83</v>
      </c>
      <c r="H71" s="9" t="s">
        <v>84</v>
      </c>
      <c r="I71" s="14"/>
      <c r="J71" s="14"/>
      <c r="K71" s="23"/>
      <c r="L71" s="5" t="str">
        <f t="shared" ca="1" si="2"/>
        <v/>
      </c>
      <c r="M71" s="19" t="str">
        <f t="shared" ca="1" si="4"/>
        <v>🟢 DISPONIBLE INMEDIATO</v>
      </c>
    </row>
    <row r="72" spans="1:13">
      <c r="A72" s="5">
        <v>68</v>
      </c>
      <c r="B72" s="5" t="s">
        <v>274</v>
      </c>
      <c r="C72" s="5" t="s">
        <v>274</v>
      </c>
      <c r="D72" s="9" t="s">
        <v>272</v>
      </c>
      <c r="E72" s="9" t="s">
        <v>272</v>
      </c>
      <c r="F72" s="5" t="s">
        <v>109</v>
      </c>
      <c r="G72" s="9" t="s">
        <v>83</v>
      </c>
      <c r="H72" s="9" t="s">
        <v>84</v>
      </c>
      <c r="I72" s="14"/>
      <c r="J72" s="14"/>
      <c r="K72" s="23"/>
      <c r="L72" s="5" t="str">
        <f t="shared" ca="1" si="2"/>
        <v/>
      </c>
      <c r="M72" s="19" t="str">
        <f t="shared" ca="1" si="4"/>
        <v>🟢 DISPONIBLE INMEDIATO</v>
      </c>
    </row>
    <row r="73" spans="1:13">
      <c r="A73" s="5">
        <v>69</v>
      </c>
      <c r="B73" s="5" t="s">
        <v>275</v>
      </c>
      <c r="C73" s="5" t="s">
        <v>275</v>
      </c>
      <c r="D73" s="9" t="s">
        <v>276</v>
      </c>
      <c r="E73" s="9" t="s">
        <v>277</v>
      </c>
      <c r="F73" s="5" t="s">
        <v>109</v>
      </c>
      <c r="G73" s="9" t="s">
        <v>117</v>
      </c>
      <c r="H73" s="9" t="s">
        <v>84</v>
      </c>
      <c r="I73" s="14"/>
      <c r="J73" s="14"/>
      <c r="K73" s="23"/>
      <c r="L73" s="5" t="str">
        <f t="shared" ca="1" si="2"/>
        <v/>
      </c>
      <c r="M73" s="19" t="str">
        <f t="shared" ca="1" si="4"/>
        <v>🔴 NO OPERATIVO CRÍTICO</v>
      </c>
    </row>
    <row r="74" spans="1:13">
      <c r="A74" s="5">
        <v>70</v>
      </c>
      <c r="B74" s="5" t="s">
        <v>278</v>
      </c>
      <c r="C74" s="5" t="s">
        <v>278</v>
      </c>
      <c r="D74" s="9" t="s">
        <v>276</v>
      </c>
      <c r="E74" s="9" t="s">
        <v>279</v>
      </c>
      <c r="F74" s="5" t="s">
        <v>109</v>
      </c>
      <c r="G74" s="9" t="s">
        <v>83</v>
      </c>
      <c r="H74" s="9" t="s">
        <v>84</v>
      </c>
      <c r="I74" s="14"/>
      <c r="J74" s="14"/>
      <c r="K74" s="23"/>
      <c r="L74" s="5" t="str">
        <f t="shared" ca="1" si="2"/>
        <v/>
      </c>
      <c r="M74" s="19" t="str">
        <f t="shared" ca="1" si="4"/>
        <v>🟢 DISPONIBLE INMEDIATO</v>
      </c>
    </row>
    <row r="75" spans="1:13">
      <c r="A75" s="5">
        <v>71</v>
      </c>
      <c r="B75" s="5" t="s">
        <v>280</v>
      </c>
      <c r="C75" s="5" t="s">
        <v>280</v>
      </c>
      <c r="D75" s="9" t="s">
        <v>281</v>
      </c>
      <c r="E75" s="9" t="s">
        <v>282</v>
      </c>
      <c r="F75" s="5" t="s">
        <v>109</v>
      </c>
      <c r="G75" s="9" t="s">
        <v>117</v>
      </c>
      <c r="H75" s="9" t="s">
        <v>84</v>
      </c>
      <c r="I75" s="14"/>
      <c r="J75" s="14"/>
      <c r="K75" s="23"/>
      <c r="L75" s="5" t="str">
        <f t="shared" ca="1" si="2"/>
        <v/>
      </c>
      <c r="M75" s="19" t="str">
        <f t="shared" ca="1" si="4"/>
        <v>🔴 NO OPERATIVO CRÍTICO</v>
      </c>
    </row>
    <row r="76" spans="1:13">
      <c r="A76" s="5">
        <v>72</v>
      </c>
      <c r="B76" s="5" t="s">
        <v>283</v>
      </c>
      <c r="C76" s="5" t="s">
        <v>283</v>
      </c>
      <c r="D76" s="9" t="s">
        <v>281</v>
      </c>
      <c r="E76" s="9" t="s">
        <v>282</v>
      </c>
      <c r="F76" s="5" t="s">
        <v>109</v>
      </c>
      <c r="G76" s="9" t="s">
        <v>117</v>
      </c>
      <c r="H76" s="9" t="s">
        <v>84</v>
      </c>
      <c r="I76" s="14"/>
      <c r="J76" s="14"/>
      <c r="K76" s="23"/>
      <c r="L76" s="5" t="str">
        <f t="shared" ca="1" si="2"/>
        <v/>
      </c>
      <c r="M76" s="19" t="str">
        <f t="shared" ca="1" si="4"/>
        <v>🔴 NO OPERATIVO CRÍTICO</v>
      </c>
    </row>
    <row r="77" spans="1:13">
      <c r="A77" s="5">
        <v>73</v>
      </c>
      <c r="B77" s="5" t="s">
        <v>284</v>
      </c>
      <c r="C77" s="5" t="s">
        <v>284</v>
      </c>
      <c r="D77" s="9" t="s">
        <v>281</v>
      </c>
      <c r="E77" s="20" t="s">
        <v>285</v>
      </c>
      <c r="F77" s="5" t="s">
        <v>123</v>
      </c>
      <c r="G77" s="9" t="s">
        <v>71</v>
      </c>
      <c r="H77" s="9" t="s">
        <v>123</v>
      </c>
      <c r="I77" s="14"/>
      <c r="J77" s="14"/>
      <c r="K77" s="23"/>
      <c r="L77" s="5" t="str">
        <f t="shared" ca="1" si="2"/>
        <v/>
      </c>
      <c r="M77" s="19" t="str">
        <f t="shared" ca="1" si="4"/>
        <v>🔵 EN OPERACIÓN: FG OOCC</v>
      </c>
    </row>
    <row r="78" spans="1:13">
      <c r="A78" s="5">
        <v>74</v>
      </c>
      <c r="B78" s="5" t="s">
        <v>286</v>
      </c>
      <c r="C78" s="5" t="s">
        <v>286</v>
      </c>
      <c r="D78" s="9" t="s">
        <v>281</v>
      </c>
      <c r="E78" s="20" t="s">
        <v>287</v>
      </c>
      <c r="F78" s="5" t="s">
        <v>70</v>
      </c>
      <c r="G78" s="9" t="s">
        <v>71</v>
      </c>
      <c r="H78" s="9" t="s">
        <v>44</v>
      </c>
      <c r="I78" s="14"/>
      <c r="J78" s="14"/>
      <c r="K78" s="23"/>
      <c r="L78" s="5" t="str">
        <f t="shared" ca="1" si="2"/>
        <v/>
      </c>
      <c r="M78" s="19" t="str">
        <f t="shared" ca="1" si="4"/>
        <v>🔵 EN OPERACIÓN: FG COVER (Fenix Gold)</v>
      </c>
    </row>
    <row r="79" spans="1:13">
      <c r="A79" s="5">
        <v>75</v>
      </c>
      <c r="B79" s="5" t="s">
        <v>288</v>
      </c>
      <c r="C79" s="5" t="s">
        <v>288</v>
      </c>
      <c r="D79" s="9" t="s">
        <v>281</v>
      </c>
      <c r="E79" s="9" t="s">
        <v>289</v>
      </c>
      <c r="F79" s="5" t="s">
        <v>70</v>
      </c>
      <c r="G79" s="9" t="s">
        <v>71</v>
      </c>
      <c r="H79" s="9" t="s">
        <v>70</v>
      </c>
      <c r="I79" s="14"/>
      <c r="J79" s="14"/>
      <c r="K79" s="23"/>
      <c r="L79" s="5" t="str">
        <f t="shared" ref="L79:L142" ca="1" si="5">IF(I79="","",IF(K79&lt;&gt;"",IF(--K79&lt;=--J79,"🟢 Cumplido a Tiempo","🟡 Entregado con Atraso ("&amp;TEXT(--K79---J79,"0")&amp;" d)"),IF(J79="","🔴 Sin Fecha Compromiso",IF(TODAY()&lt;=--J79,"🟢 En Plazo ("&amp;TEXT(--J79-TODAY(),"0")&amp;" d rest.)","🔴 Atrasado ("&amp;TEXT(TODAY()---J79,"0")&amp;" d)"))))</f>
        <v/>
      </c>
      <c r="M79" s="19" t="str">
        <f t="shared" ca="1" si="4"/>
        <v>🔵 EN OPERACIÓN: FG COVER</v>
      </c>
    </row>
    <row r="80" spans="1:13">
      <c r="A80" s="5">
        <v>76</v>
      </c>
      <c r="B80" s="5" t="s">
        <v>290</v>
      </c>
      <c r="C80" s="5" t="s">
        <v>290</v>
      </c>
      <c r="D80" s="9" t="s">
        <v>291</v>
      </c>
      <c r="E80" s="9" t="s">
        <v>292</v>
      </c>
      <c r="F80" s="5" t="s">
        <v>109</v>
      </c>
      <c r="G80" s="9" t="s">
        <v>83</v>
      </c>
      <c r="H80" s="9" t="s">
        <v>84</v>
      </c>
      <c r="I80" s="14"/>
      <c r="J80" s="14"/>
      <c r="K80" s="23"/>
      <c r="L80" s="5" t="str">
        <f t="shared" ca="1" si="5"/>
        <v/>
      </c>
      <c r="M80" s="19" t="str">
        <f t="shared" ca="1" si="4"/>
        <v>🟢 DISPONIBLE INMEDIATO</v>
      </c>
    </row>
    <row r="81" spans="1:13">
      <c r="A81" s="5">
        <v>77</v>
      </c>
      <c r="B81" s="5" t="s">
        <v>293</v>
      </c>
      <c r="C81" s="5" t="s">
        <v>293</v>
      </c>
      <c r="D81" s="9" t="s">
        <v>234</v>
      </c>
      <c r="E81" s="9" t="s">
        <v>254</v>
      </c>
      <c r="F81" s="5" t="s">
        <v>123</v>
      </c>
      <c r="G81" s="9" t="s">
        <v>71</v>
      </c>
      <c r="H81" s="9" t="s">
        <v>123</v>
      </c>
      <c r="I81" s="14"/>
      <c r="J81" s="14"/>
      <c r="K81" s="23"/>
      <c r="L81" s="5" t="str">
        <f t="shared" ca="1" si="5"/>
        <v/>
      </c>
      <c r="M81" s="19" t="str">
        <f t="shared" ca="1" si="4"/>
        <v>🔵 EN OPERACIÓN: FG OOCC</v>
      </c>
    </row>
    <row r="82" spans="1:13">
      <c r="A82" s="5">
        <v>78</v>
      </c>
      <c r="B82" s="5" t="s">
        <v>294</v>
      </c>
      <c r="C82" s="5" t="s">
        <v>294</v>
      </c>
      <c r="D82" s="9" t="s">
        <v>234</v>
      </c>
      <c r="E82" s="9" t="s">
        <v>254</v>
      </c>
      <c r="F82" s="5" t="s">
        <v>123</v>
      </c>
      <c r="G82" s="9" t="s">
        <v>71</v>
      </c>
      <c r="H82" s="9" t="s">
        <v>123</v>
      </c>
      <c r="I82" s="14"/>
      <c r="J82" s="14"/>
      <c r="K82" s="23"/>
      <c r="L82" s="5" t="str">
        <f t="shared" ca="1" si="5"/>
        <v/>
      </c>
      <c r="M82" s="19" t="str">
        <f t="shared" ca="1" si="4"/>
        <v>🔵 EN OPERACIÓN: FG OOCC</v>
      </c>
    </row>
    <row r="83" spans="1:13">
      <c r="A83" s="5">
        <v>79</v>
      </c>
      <c r="B83" s="5" t="s">
        <v>295</v>
      </c>
      <c r="C83" s="5" t="s">
        <v>295</v>
      </c>
      <c r="D83" s="9" t="s">
        <v>234</v>
      </c>
      <c r="E83" s="9" t="s">
        <v>254</v>
      </c>
      <c r="F83" s="5" t="s">
        <v>123</v>
      </c>
      <c r="G83" s="9" t="s">
        <v>71</v>
      </c>
      <c r="H83" s="9" t="s">
        <v>123</v>
      </c>
      <c r="I83" s="14"/>
      <c r="J83" s="14"/>
      <c r="K83" s="23"/>
      <c r="L83" s="5" t="str">
        <f t="shared" ca="1" si="5"/>
        <v/>
      </c>
      <c r="M83" s="19" t="str">
        <f t="shared" ca="1" si="4"/>
        <v>🔵 EN OPERACIÓN: FG OOCC</v>
      </c>
    </row>
    <row r="84" spans="1:13">
      <c r="A84" s="5">
        <v>80</v>
      </c>
      <c r="B84" s="5" t="s">
        <v>296</v>
      </c>
      <c r="C84" s="5" t="s">
        <v>296</v>
      </c>
      <c r="D84" s="9" t="s">
        <v>234</v>
      </c>
      <c r="E84" s="9" t="s">
        <v>254</v>
      </c>
      <c r="F84" s="5" t="s">
        <v>123</v>
      </c>
      <c r="G84" s="9" t="s">
        <v>71</v>
      </c>
      <c r="H84" s="9" t="s">
        <v>123</v>
      </c>
      <c r="I84" s="14"/>
      <c r="J84" s="14"/>
      <c r="K84" s="23"/>
      <c r="L84" s="5" t="str">
        <f t="shared" ca="1" si="5"/>
        <v/>
      </c>
      <c r="M84" s="19" t="str">
        <f t="shared" ca="1" si="4"/>
        <v>🔵 EN OPERACIÓN: FG OOCC</v>
      </c>
    </row>
    <row r="85" spans="1:13">
      <c r="A85" s="5">
        <v>81</v>
      </c>
      <c r="B85" s="5" t="s">
        <v>297</v>
      </c>
      <c r="C85" s="5" t="s">
        <v>297</v>
      </c>
      <c r="D85" s="9" t="s">
        <v>234</v>
      </c>
      <c r="E85" s="9" t="s">
        <v>254</v>
      </c>
      <c r="F85" s="5" t="s">
        <v>70</v>
      </c>
      <c r="G85" s="9" t="s">
        <v>71</v>
      </c>
      <c r="H85" s="9" t="s">
        <v>70</v>
      </c>
      <c r="I85" s="14"/>
      <c r="J85" s="14"/>
      <c r="K85" s="23"/>
      <c r="L85" s="5" t="str">
        <f t="shared" ca="1" si="5"/>
        <v/>
      </c>
      <c r="M85" s="19" t="str">
        <f t="shared" ca="1" si="4"/>
        <v>🔵 EN OPERACIÓN: FG COVER</v>
      </c>
    </row>
    <row r="86" spans="1:13">
      <c r="L86" s="5" t="str">
        <f t="shared" ca="1" si="5"/>
        <v/>
      </c>
    </row>
    <row r="87" spans="1:13">
      <c r="L87" s="5" t="str">
        <f t="shared" ca="1" si="5"/>
        <v/>
      </c>
    </row>
    <row r="88" spans="1:13">
      <c r="L88" s="5" t="str">
        <f t="shared" ca="1" si="5"/>
        <v/>
      </c>
    </row>
    <row r="89" spans="1:13">
      <c r="L89" s="5" t="str">
        <f t="shared" ca="1" si="5"/>
        <v/>
      </c>
    </row>
    <row r="90" spans="1:13">
      <c r="L90" s="5" t="str">
        <f t="shared" ca="1" si="5"/>
        <v/>
      </c>
    </row>
    <row r="91" spans="1:13">
      <c r="L91" s="5" t="str">
        <f t="shared" ca="1" si="5"/>
        <v/>
      </c>
    </row>
    <row r="92" spans="1:13">
      <c r="L92" s="5" t="str">
        <f t="shared" ca="1" si="5"/>
        <v/>
      </c>
    </row>
    <row r="93" spans="1:13">
      <c r="L93" s="5" t="str">
        <f t="shared" ca="1" si="5"/>
        <v/>
      </c>
    </row>
    <row r="94" spans="1:13">
      <c r="L94" s="5" t="str">
        <f t="shared" ca="1" si="5"/>
        <v/>
      </c>
    </row>
    <row r="95" spans="1:13">
      <c r="L95" s="5" t="str">
        <f t="shared" ca="1" si="5"/>
        <v/>
      </c>
    </row>
    <row r="96" spans="1:13">
      <c r="L96" s="5" t="str">
        <f t="shared" ca="1" si="5"/>
        <v/>
      </c>
    </row>
    <row r="97" spans="12:12">
      <c r="L97" s="5" t="str">
        <f t="shared" ca="1" si="5"/>
        <v/>
      </c>
    </row>
    <row r="98" spans="12:12">
      <c r="L98" s="5" t="str">
        <f t="shared" ca="1" si="5"/>
        <v/>
      </c>
    </row>
    <row r="99" spans="12:12">
      <c r="L99" s="5" t="str">
        <f t="shared" ca="1" si="5"/>
        <v/>
      </c>
    </row>
    <row r="100" spans="12:12">
      <c r="L100" s="5" t="str">
        <f t="shared" ca="1" si="5"/>
        <v/>
      </c>
    </row>
    <row r="101" spans="12:12">
      <c r="L101" s="5" t="str">
        <f t="shared" ca="1" si="5"/>
        <v/>
      </c>
    </row>
    <row r="102" spans="12:12">
      <c r="L102" s="5" t="str">
        <f t="shared" ca="1" si="5"/>
        <v/>
      </c>
    </row>
    <row r="103" spans="12:12">
      <c r="L103" s="5" t="str">
        <f t="shared" ca="1" si="5"/>
        <v/>
      </c>
    </row>
    <row r="104" spans="12:12">
      <c r="L104" s="5" t="str">
        <f t="shared" ca="1" si="5"/>
        <v/>
      </c>
    </row>
    <row r="105" spans="12:12">
      <c r="L105" s="5" t="str">
        <f t="shared" ca="1" si="5"/>
        <v/>
      </c>
    </row>
    <row r="106" spans="12:12">
      <c r="L106" s="5" t="str">
        <f t="shared" ca="1" si="5"/>
        <v/>
      </c>
    </row>
    <row r="107" spans="12:12">
      <c r="L107" s="5" t="str">
        <f t="shared" ca="1" si="5"/>
        <v/>
      </c>
    </row>
    <row r="108" spans="12:12">
      <c r="L108" s="5" t="str">
        <f t="shared" ca="1" si="5"/>
        <v/>
      </c>
    </row>
    <row r="109" spans="12:12">
      <c r="L109" s="5" t="str">
        <f t="shared" ca="1" si="5"/>
        <v/>
      </c>
    </row>
    <row r="110" spans="12:12">
      <c r="L110" s="5" t="str">
        <f t="shared" ca="1" si="5"/>
        <v/>
      </c>
    </row>
    <row r="111" spans="12:12">
      <c r="L111" s="5" t="str">
        <f t="shared" ca="1" si="5"/>
        <v/>
      </c>
    </row>
    <row r="112" spans="12:12">
      <c r="L112" s="5" t="str">
        <f t="shared" ca="1" si="5"/>
        <v/>
      </c>
    </row>
    <row r="113" spans="12:12">
      <c r="L113" s="5" t="str">
        <f t="shared" ca="1" si="5"/>
        <v/>
      </c>
    </row>
    <row r="114" spans="12:12">
      <c r="L114" s="5" t="str">
        <f t="shared" ca="1" si="5"/>
        <v/>
      </c>
    </row>
    <row r="115" spans="12:12">
      <c r="L115" s="5" t="str">
        <f t="shared" ca="1" si="5"/>
        <v/>
      </c>
    </row>
    <row r="116" spans="12:12">
      <c r="L116" s="5" t="str">
        <f t="shared" ca="1" si="5"/>
        <v/>
      </c>
    </row>
    <row r="117" spans="12:12">
      <c r="L117" s="5" t="str">
        <f t="shared" ca="1" si="5"/>
        <v/>
      </c>
    </row>
    <row r="118" spans="12:12">
      <c r="L118" s="5" t="str">
        <f t="shared" ca="1" si="5"/>
        <v/>
      </c>
    </row>
    <row r="119" spans="12:12">
      <c r="L119" s="5" t="str">
        <f t="shared" ca="1" si="5"/>
        <v/>
      </c>
    </row>
    <row r="120" spans="12:12">
      <c r="L120" s="5" t="str">
        <f t="shared" ca="1" si="5"/>
        <v/>
      </c>
    </row>
    <row r="121" spans="12:12">
      <c r="L121" s="5" t="str">
        <f t="shared" ca="1" si="5"/>
        <v/>
      </c>
    </row>
    <row r="122" spans="12:12">
      <c r="L122" s="5" t="str">
        <f t="shared" ca="1" si="5"/>
        <v/>
      </c>
    </row>
    <row r="123" spans="12:12">
      <c r="L123" s="5" t="str">
        <f t="shared" ca="1" si="5"/>
        <v/>
      </c>
    </row>
    <row r="124" spans="12:12">
      <c r="L124" s="5" t="str">
        <f t="shared" ca="1" si="5"/>
        <v/>
      </c>
    </row>
    <row r="125" spans="12:12">
      <c r="L125" s="5" t="str">
        <f t="shared" ca="1" si="5"/>
        <v/>
      </c>
    </row>
    <row r="126" spans="12:12">
      <c r="L126" s="5" t="str">
        <f t="shared" ca="1" si="5"/>
        <v/>
      </c>
    </row>
    <row r="127" spans="12:12">
      <c r="L127" s="5" t="str">
        <f t="shared" ca="1" si="5"/>
        <v/>
      </c>
    </row>
    <row r="128" spans="12:12">
      <c r="L128" s="5" t="str">
        <f t="shared" ca="1" si="5"/>
        <v/>
      </c>
    </row>
    <row r="129" spans="12:12">
      <c r="L129" s="5" t="str">
        <f t="shared" ca="1" si="5"/>
        <v/>
      </c>
    </row>
    <row r="130" spans="12:12">
      <c r="L130" s="5" t="str">
        <f t="shared" ca="1" si="5"/>
        <v/>
      </c>
    </row>
    <row r="131" spans="12:12">
      <c r="L131" s="5" t="str">
        <f t="shared" ca="1" si="5"/>
        <v/>
      </c>
    </row>
    <row r="132" spans="12:12">
      <c r="L132" s="5" t="str">
        <f t="shared" ca="1" si="5"/>
        <v/>
      </c>
    </row>
    <row r="133" spans="12:12">
      <c r="L133" s="5" t="str">
        <f t="shared" ca="1" si="5"/>
        <v/>
      </c>
    </row>
    <row r="134" spans="12:12">
      <c r="L134" s="5" t="str">
        <f t="shared" ca="1" si="5"/>
        <v/>
      </c>
    </row>
    <row r="135" spans="12:12">
      <c r="L135" s="5" t="str">
        <f t="shared" ca="1" si="5"/>
        <v/>
      </c>
    </row>
    <row r="136" spans="12:12">
      <c r="L136" s="5" t="str">
        <f t="shared" ca="1" si="5"/>
        <v/>
      </c>
    </row>
    <row r="137" spans="12:12">
      <c r="L137" s="5" t="str">
        <f t="shared" ca="1" si="5"/>
        <v/>
      </c>
    </row>
    <row r="138" spans="12:12">
      <c r="L138" s="5" t="str">
        <f t="shared" ca="1" si="5"/>
        <v/>
      </c>
    </row>
    <row r="139" spans="12:12">
      <c r="L139" s="5" t="str">
        <f t="shared" ca="1" si="5"/>
        <v/>
      </c>
    </row>
    <row r="140" spans="12:12">
      <c r="L140" s="5" t="str">
        <f t="shared" ca="1" si="5"/>
        <v/>
      </c>
    </row>
    <row r="141" spans="12:12">
      <c r="L141" s="5" t="str">
        <f t="shared" ca="1" si="5"/>
        <v/>
      </c>
    </row>
    <row r="142" spans="12:12">
      <c r="L142" s="5" t="str">
        <f t="shared" ca="1" si="5"/>
        <v/>
      </c>
    </row>
    <row r="143" spans="12:12">
      <c r="L143" s="5" t="str">
        <f t="shared" ref="L143:L206" ca="1" si="6">IF(I143="","",IF(K143&lt;&gt;"",IF(--K143&lt;=--J143,"🟢 Cumplido a Tiempo","🟡 Entregado con Atraso ("&amp;TEXT(--K143---J143,"0")&amp;" d)"),IF(J143="","🔴 Sin Fecha Compromiso",IF(TODAY()&lt;=--J143,"🟢 En Plazo ("&amp;TEXT(--J143-TODAY(),"0")&amp;" d rest.)","🔴 Atrasado ("&amp;TEXT(TODAY()---J143,"0")&amp;" d)"))))</f>
        <v/>
      </c>
    </row>
    <row r="144" spans="12:12">
      <c r="L144" s="5" t="str">
        <f t="shared" ca="1" si="6"/>
        <v/>
      </c>
    </row>
    <row r="145" spans="12:12">
      <c r="L145" s="5" t="str">
        <f t="shared" ca="1" si="6"/>
        <v/>
      </c>
    </row>
    <row r="146" spans="12:12">
      <c r="L146" s="5" t="str">
        <f t="shared" ca="1" si="6"/>
        <v/>
      </c>
    </row>
    <row r="147" spans="12:12">
      <c r="L147" s="5" t="str">
        <f t="shared" ca="1" si="6"/>
        <v/>
      </c>
    </row>
    <row r="148" spans="12:12">
      <c r="L148" s="5" t="str">
        <f t="shared" ca="1" si="6"/>
        <v/>
      </c>
    </row>
    <row r="149" spans="12:12">
      <c r="L149" s="5" t="str">
        <f t="shared" ca="1" si="6"/>
        <v/>
      </c>
    </row>
    <row r="150" spans="12:12">
      <c r="L150" s="5" t="str">
        <f t="shared" ca="1" si="6"/>
        <v/>
      </c>
    </row>
    <row r="151" spans="12:12">
      <c r="L151" s="5" t="str">
        <f t="shared" ca="1" si="6"/>
        <v/>
      </c>
    </row>
    <row r="152" spans="12:12">
      <c r="L152" s="5" t="str">
        <f t="shared" ca="1" si="6"/>
        <v/>
      </c>
    </row>
    <row r="153" spans="12:12">
      <c r="L153" s="5" t="str">
        <f t="shared" ca="1" si="6"/>
        <v/>
      </c>
    </row>
    <row r="154" spans="12:12">
      <c r="L154" s="5" t="str">
        <f t="shared" ca="1" si="6"/>
        <v/>
      </c>
    </row>
    <row r="155" spans="12:12">
      <c r="L155" s="5" t="str">
        <f t="shared" ca="1" si="6"/>
        <v/>
      </c>
    </row>
    <row r="156" spans="12:12">
      <c r="L156" s="5" t="str">
        <f t="shared" ca="1" si="6"/>
        <v/>
      </c>
    </row>
    <row r="157" spans="12:12">
      <c r="L157" s="5" t="str">
        <f t="shared" ca="1" si="6"/>
        <v/>
      </c>
    </row>
    <row r="158" spans="12:12">
      <c r="L158" s="5" t="str">
        <f t="shared" ca="1" si="6"/>
        <v/>
      </c>
    </row>
    <row r="159" spans="12:12">
      <c r="L159" s="5" t="str">
        <f t="shared" ca="1" si="6"/>
        <v/>
      </c>
    </row>
    <row r="160" spans="12:12">
      <c r="L160" s="5" t="str">
        <f t="shared" ca="1" si="6"/>
        <v/>
      </c>
    </row>
    <row r="161" spans="12:12">
      <c r="L161" s="5" t="str">
        <f t="shared" ca="1" si="6"/>
        <v/>
      </c>
    </row>
    <row r="162" spans="12:12">
      <c r="L162" s="5" t="str">
        <f t="shared" ca="1" si="6"/>
        <v/>
      </c>
    </row>
    <row r="163" spans="12:12">
      <c r="L163" s="5" t="str">
        <f t="shared" ca="1" si="6"/>
        <v/>
      </c>
    </row>
    <row r="164" spans="12:12">
      <c r="L164" s="5" t="str">
        <f t="shared" ca="1" si="6"/>
        <v/>
      </c>
    </row>
    <row r="165" spans="12:12">
      <c r="L165" s="5" t="str">
        <f t="shared" ca="1" si="6"/>
        <v/>
      </c>
    </row>
    <row r="166" spans="12:12">
      <c r="L166" s="5" t="str">
        <f t="shared" ca="1" si="6"/>
        <v/>
      </c>
    </row>
    <row r="167" spans="12:12">
      <c r="L167" s="5" t="str">
        <f t="shared" ca="1" si="6"/>
        <v/>
      </c>
    </row>
    <row r="168" spans="12:12">
      <c r="L168" s="5" t="str">
        <f t="shared" ca="1" si="6"/>
        <v/>
      </c>
    </row>
    <row r="169" spans="12:12">
      <c r="L169" s="5" t="str">
        <f t="shared" ca="1" si="6"/>
        <v/>
      </c>
    </row>
    <row r="170" spans="12:12">
      <c r="L170" s="5" t="str">
        <f t="shared" ca="1" si="6"/>
        <v/>
      </c>
    </row>
    <row r="171" spans="12:12">
      <c r="L171" s="5" t="str">
        <f t="shared" ca="1" si="6"/>
        <v/>
      </c>
    </row>
    <row r="172" spans="12:12">
      <c r="L172" s="5" t="str">
        <f t="shared" ca="1" si="6"/>
        <v/>
      </c>
    </row>
    <row r="173" spans="12:12">
      <c r="L173" s="5" t="str">
        <f t="shared" ca="1" si="6"/>
        <v/>
      </c>
    </row>
    <row r="174" spans="12:12">
      <c r="L174" s="5" t="str">
        <f t="shared" ca="1" si="6"/>
        <v/>
      </c>
    </row>
    <row r="175" spans="12:12">
      <c r="L175" s="5" t="str">
        <f t="shared" ca="1" si="6"/>
        <v/>
      </c>
    </row>
    <row r="176" spans="12:12">
      <c r="L176" s="5" t="str">
        <f t="shared" ca="1" si="6"/>
        <v/>
      </c>
    </row>
    <row r="177" spans="12:12">
      <c r="L177" s="5" t="str">
        <f t="shared" ca="1" si="6"/>
        <v/>
      </c>
    </row>
    <row r="178" spans="12:12">
      <c r="L178" s="5" t="str">
        <f t="shared" ca="1" si="6"/>
        <v/>
      </c>
    </row>
    <row r="179" spans="12:12">
      <c r="L179" s="5" t="str">
        <f t="shared" ca="1" si="6"/>
        <v/>
      </c>
    </row>
    <row r="180" spans="12:12">
      <c r="L180" s="5" t="str">
        <f t="shared" ca="1" si="6"/>
        <v/>
      </c>
    </row>
    <row r="181" spans="12:12">
      <c r="L181" s="5" t="str">
        <f t="shared" ca="1" si="6"/>
        <v/>
      </c>
    </row>
    <row r="182" spans="12:12">
      <c r="L182" s="5" t="str">
        <f t="shared" ca="1" si="6"/>
        <v/>
      </c>
    </row>
    <row r="183" spans="12:12">
      <c r="L183" s="5" t="str">
        <f t="shared" ca="1" si="6"/>
        <v/>
      </c>
    </row>
    <row r="184" spans="12:12">
      <c r="L184" s="5" t="str">
        <f t="shared" ca="1" si="6"/>
        <v/>
      </c>
    </row>
    <row r="185" spans="12:12">
      <c r="L185" s="5" t="str">
        <f t="shared" ca="1" si="6"/>
        <v/>
      </c>
    </row>
    <row r="186" spans="12:12">
      <c r="L186" s="5" t="str">
        <f t="shared" ca="1" si="6"/>
        <v/>
      </c>
    </row>
    <row r="187" spans="12:12">
      <c r="L187" s="5" t="str">
        <f t="shared" ca="1" si="6"/>
        <v/>
      </c>
    </row>
    <row r="188" spans="12:12">
      <c r="L188" s="5" t="str">
        <f t="shared" ca="1" si="6"/>
        <v/>
      </c>
    </row>
    <row r="189" spans="12:12">
      <c r="L189" s="5" t="str">
        <f t="shared" ca="1" si="6"/>
        <v/>
      </c>
    </row>
    <row r="190" spans="12:12">
      <c r="L190" s="5" t="str">
        <f t="shared" ca="1" si="6"/>
        <v/>
      </c>
    </row>
    <row r="191" spans="12:12">
      <c r="L191" s="5" t="str">
        <f t="shared" ca="1" si="6"/>
        <v/>
      </c>
    </row>
    <row r="192" spans="12:12">
      <c r="L192" s="5" t="str">
        <f t="shared" ca="1" si="6"/>
        <v/>
      </c>
    </row>
    <row r="193" spans="12:12">
      <c r="L193" s="5" t="str">
        <f t="shared" ca="1" si="6"/>
        <v/>
      </c>
    </row>
    <row r="194" spans="12:12">
      <c r="L194" s="5" t="str">
        <f t="shared" ca="1" si="6"/>
        <v/>
      </c>
    </row>
    <row r="195" spans="12:12">
      <c r="L195" s="5" t="str">
        <f t="shared" ca="1" si="6"/>
        <v/>
      </c>
    </row>
    <row r="196" spans="12:12">
      <c r="L196" s="5" t="str">
        <f t="shared" ca="1" si="6"/>
        <v/>
      </c>
    </row>
    <row r="197" spans="12:12">
      <c r="L197" s="5" t="str">
        <f t="shared" ca="1" si="6"/>
        <v/>
      </c>
    </row>
    <row r="198" spans="12:12">
      <c r="L198" s="5" t="str">
        <f t="shared" ca="1" si="6"/>
        <v/>
      </c>
    </row>
    <row r="199" spans="12:12">
      <c r="L199" s="5" t="str">
        <f t="shared" ca="1" si="6"/>
        <v/>
      </c>
    </row>
    <row r="200" spans="12:12">
      <c r="L200" s="5" t="str">
        <f t="shared" ca="1" si="6"/>
        <v/>
      </c>
    </row>
    <row r="201" spans="12:12">
      <c r="L201" s="5" t="str">
        <f t="shared" ca="1" si="6"/>
        <v/>
      </c>
    </row>
    <row r="202" spans="12:12">
      <c r="L202" s="5" t="str">
        <f t="shared" ca="1" si="6"/>
        <v/>
      </c>
    </row>
    <row r="203" spans="12:12">
      <c r="L203" s="5" t="str">
        <f t="shared" ca="1" si="6"/>
        <v/>
      </c>
    </row>
    <row r="204" spans="12:12">
      <c r="L204" s="5" t="str">
        <f t="shared" ca="1" si="6"/>
        <v/>
      </c>
    </row>
    <row r="205" spans="12:12">
      <c r="L205" s="5" t="str">
        <f t="shared" ca="1" si="6"/>
        <v/>
      </c>
    </row>
    <row r="206" spans="12:12">
      <c r="L206" s="5" t="str">
        <f t="shared" ca="1" si="6"/>
        <v/>
      </c>
    </row>
    <row r="207" spans="12:12">
      <c r="L207" s="5" t="str">
        <f t="shared" ref="L207:L270" ca="1" si="7">IF(I207="","",IF(K207&lt;&gt;"",IF(--K207&lt;=--J207,"🟢 Cumplido a Tiempo","🟡 Entregado con Atraso ("&amp;TEXT(--K207---J207,"0")&amp;" d)"),IF(J207="","🔴 Sin Fecha Compromiso",IF(TODAY()&lt;=--J207,"🟢 En Plazo ("&amp;TEXT(--J207-TODAY(),"0")&amp;" d rest.)","🔴 Atrasado ("&amp;TEXT(TODAY()---J207,"0")&amp;" d)"))))</f>
        <v/>
      </c>
    </row>
    <row r="208" spans="12:12">
      <c r="L208" s="5" t="str">
        <f t="shared" ca="1" si="7"/>
        <v/>
      </c>
    </row>
    <row r="209" spans="12:12">
      <c r="L209" s="5" t="str">
        <f t="shared" ca="1" si="7"/>
        <v/>
      </c>
    </row>
    <row r="210" spans="12:12">
      <c r="L210" s="5" t="str">
        <f t="shared" ca="1" si="7"/>
        <v/>
      </c>
    </row>
    <row r="211" spans="12:12">
      <c r="L211" s="5" t="str">
        <f t="shared" ca="1" si="7"/>
        <v/>
      </c>
    </row>
    <row r="212" spans="12:12">
      <c r="L212" s="5" t="str">
        <f t="shared" ca="1" si="7"/>
        <v/>
      </c>
    </row>
    <row r="213" spans="12:12">
      <c r="L213" s="5" t="str">
        <f t="shared" ca="1" si="7"/>
        <v/>
      </c>
    </row>
    <row r="214" spans="12:12">
      <c r="L214" s="5" t="str">
        <f t="shared" ca="1" si="7"/>
        <v/>
      </c>
    </row>
    <row r="215" spans="12:12">
      <c r="L215" s="5" t="str">
        <f t="shared" ca="1" si="7"/>
        <v/>
      </c>
    </row>
    <row r="216" spans="12:12">
      <c r="L216" s="5" t="str">
        <f t="shared" ca="1" si="7"/>
        <v/>
      </c>
    </row>
    <row r="217" spans="12:12">
      <c r="L217" s="5" t="str">
        <f t="shared" ca="1" si="7"/>
        <v/>
      </c>
    </row>
    <row r="218" spans="12:12">
      <c r="L218" s="5" t="str">
        <f t="shared" ca="1" si="7"/>
        <v/>
      </c>
    </row>
    <row r="219" spans="12:12">
      <c r="L219" s="5" t="str">
        <f t="shared" ca="1" si="7"/>
        <v/>
      </c>
    </row>
    <row r="220" spans="12:12">
      <c r="L220" s="5" t="str">
        <f t="shared" ca="1" si="7"/>
        <v/>
      </c>
    </row>
    <row r="221" spans="12:12">
      <c r="L221" s="5" t="str">
        <f t="shared" ca="1" si="7"/>
        <v/>
      </c>
    </row>
    <row r="222" spans="12:12">
      <c r="L222" s="5" t="str">
        <f t="shared" ca="1" si="7"/>
        <v/>
      </c>
    </row>
    <row r="223" spans="12:12">
      <c r="L223" s="5" t="str">
        <f t="shared" ca="1" si="7"/>
        <v/>
      </c>
    </row>
    <row r="224" spans="12:12">
      <c r="L224" s="5" t="str">
        <f t="shared" ca="1" si="7"/>
        <v/>
      </c>
    </row>
    <row r="225" spans="12:12">
      <c r="L225" s="5" t="str">
        <f t="shared" ca="1" si="7"/>
        <v/>
      </c>
    </row>
    <row r="226" spans="12:12">
      <c r="L226" s="5" t="str">
        <f t="shared" ca="1" si="7"/>
        <v/>
      </c>
    </row>
    <row r="227" spans="12:12">
      <c r="L227" s="5" t="str">
        <f t="shared" ca="1" si="7"/>
        <v/>
      </c>
    </row>
    <row r="228" spans="12:12">
      <c r="L228" s="5" t="str">
        <f t="shared" ca="1" si="7"/>
        <v/>
      </c>
    </row>
    <row r="229" spans="12:12">
      <c r="L229" s="5" t="str">
        <f t="shared" ca="1" si="7"/>
        <v/>
      </c>
    </row>
    <row r="230" spans="12:12">
      <c r="L230" s="5" t="str">
        <f t="shared" ca="1" si="7"/>
        <v/>
      </c>
    </row>
    <row r="231" spans="12:12">
      <c r="L231" s="5" t="str">
        <f t="shared" ca="1" si="7"/>
        <v/>
      </c>
    </row>
    <row r="232" spans="12:12">
      <c r="L232" s="5" t="str">
        <f t="shared" ca="1" si="7"/>
        <v/>
      </c>
    </row>
    <row r="233" spans="12:12">
      <c r="L233" s="5" t="str">
        <f t="shared" ca="1" si="7"/>
        <v/>
      </c>
    </row>
    <row r="234" spans="12:12">
      <c r="L234" s="5" t="str">
        <f t="shared" ca="1" si="7"/>
        <v/>
      </c>
    </row>
    <row r="235" spans="12:12">
      <c r="L235" s="5" t="str">
        <f t="shared" ca="1" si="7"/>
        <v/>
      </c>
    </row>
    <row r="236" spans="12:12">
      <c r="L236" s="5" t="str">
        <f t="shared" ca="1" si="7"/>
        <v/>
      </c>
    </row>
    <row r="237" spans="12:12">
      <c r="L237" s="5" t="str">
        <f t="shared" ca="1" si="7"/>
        <v/>
      </c>
    </row>
    <row r="238" spans="12:12">
      <c r="L238" s="5" t="str">
        <f t="shared" ca="1" si="7"/>
        <v/>
      </c>
    </row>
    <row r="239" spans="12:12">
      <c r="L239" s="5" t="str">
        <f t="shared" ca="1" si="7"/>
        <v/>
      </c>
    </row>
    <row r="240" spans="12:12">
      <c r="L240" s="5" t="str">
        <f t="shared" ca="1" si="7"/>
        <v/>
      </c>
    </row>
    <row r="241" spans="12:12">
      <c r="L241" s="5" t="str">
        <f t="shared" ca="1" si="7"/>
        <v/>
      </c>
    </row>
    <row r="242" spans="12:12">
      <c r="L242" s="5" t="str">
        <f t="shared" ca="1" si="7"/>
        <v/>
      </c>
    </row>
    <row r="243" spans="12:12">
      <c r="L243" s="5" t="str">
        <f t="shared" ca="1" si="7"/>
        <v/>
      </c>
    </row>
    <row r="244" spans="12:12">
      <c r="L244" s="5" t="str">
        <f t="shared" ca="1" si="7"/>
        <v/>
      </c>
    </row>
    <row r="245" spans="12:12">
      <c r="L245" s="5" t="str">
        <f t="shared" ca="1" si="7"/>
        <v/>
      </c>
    </row>
    <row r="246" spans="12:12">
      <c r="L246" s="5" t="str">
        <f t="shared" ca="1" si="7"/>
        <v/>
      </c>
    </row>
    <row r="247" spans="12:12">
      <c r="L247" s="5" t="str">
        <f t="shared" ca="1" si="7"/>
        <v/>
      </c>
    </row>
    <row r="248" spans="12:12">
      <c r="L248" s="5" t="str">
        <f t="shared" ca="1" si="7"/>
        <v/>
      </c>
    </row>
    <row r="249" spans="12:12">
      <c r="L249" s="5" t="str">
        <f t="shared" ca="1" si="7"/>
        <v/>
      </c>
    </row>
    <row r="250" spans="12:12">
      <c r="L250" s="5" t="str">
        <f t="shared" ca="1" si="7"/>
        <v/>
      </c>
    </row>
    <row r="251" spans="12:12">
      <c r="L251" s="5" t="str">
        <f t="shared" ca="1" si="7"/>
        <v/>
      </c>
    </row>
    <row r="252" spans="12:12">
      <c r="L252" s="5" t="str">
        <f t="shared" ca="1" si="7"/>
        <v/>
      </c>
    </row>
    <row r="253" spans="12:12">
      <c r="L253" s="5" t="str">
        <f t="shared" ca="1" si="7"/>
        <v/>
      </c>
    </row>
    <row r="254" spans="12:12">
      <c r="L254" s="5" t="str">
        <f t="shared" ca="1" si="7"/>
        <v/>
      </c>
    </row>
    <row r="255" spans="12:12">
      <c r="L255" s="5" t="str">
        <f t="shared" ca="1" si="7"/>
        <v/>
      </c>
    </row>
    <row r="256" spans="12:12">
      <c r="L256" s="5" t="str">
        <f t="shared" ca="1" si="7"/>
        <v/>
      </c>
    </row>
    <row r="257" spans="12:12">
      <c r="L257" s="5" t="str">
        <f t="shared" ca="1" si="7"/>
        <v/>
      </c>
    </row>
    <row r="258" spans="12:12">
      <c r="L258" s="5" t="str">
        <f t="shared" ca="1" si="7"/>
        <v/>
      </c>
    </row>
    <row r="259" spans="12:12">
      <c r="L259" s="5" t="str">
        <f t="shared" ca="1" si="7"/>
        <v/>
      </c>
    </row>
    <row r="260" spans="12:12">
      <c r="L260" s="5" t="str">
        <f t="shared" ca="1" si="7"/>
        <v/>
      </c>
    </row>
    <row r="261" spans="12:12">
      <c r="L261" s="5" t="str">
        <f t="shared" ca="1" si="7"/>
        <v/>
      </c>
    </row>
    <row r="262" spans="12:12">
      <c r="L262" s="5" t="str">
        <f t="shared" ca="1" si="7"/>
        <v/>
      </c>
    </row>
    <row r="263" spans="12:12">
      <c r="L263" s="5" t="str">
        <f t="shared" ca="1" si="7"/>
        <v/>
      </c>
    </row>
    <row r="264" spans="12:12">
      <c r="L264" s="5" t="str">
        <f t="shared" ca="1" si="7"/>
        <v/>
      </c>
    </row>
    <row r="265" spans="12:12">
      <c r="L265" s="5" t="str">
        <f t="shared" ca="1" si="7"/>
        <v/>
      </c>
    </row>
    <row r="266" spans="12:12">
      <c r="L266" s="5" t="str">
        <f t="shared" ca="1" si="7"/>
        <v/>
      </c>
    </row>
    <row r="267" spans="12:12">
      <c r="L267" s="5" t="str">
        <f t="shared" ca="1" si="7"/>
        <v/>
      </c>
    </row>
    <row r="268" spans="12:12">
      <c r="L268" s="5" t="str">
        <f t="shared" ca="1" si="7"/>
        <v/>
      </c>
    </row>
    <row r="269" spans="12:12">
      <c r="L269" s="5" t="str">
        <f t="shared" ca="1" si="7"/>
        <v/>
      </c>
    </row>
    <row r="270" spans="12:12">
      <c r="L270" s="5" t="str">
        <f t="shared" ca="1" si="7"/>
        <v/>
      </c>
    </row>
    <row r="271" spans="12:12">
      <c r="L271" s="5" t="str">
        <f t="shared" ref="L271:L334" ca="1" si="8">IF(I271="","",IF(K271&lt;&gt;"",IF(--K271&lt;=--J271,"🟢 Cumplido a Tiempo","🟡 Entregado con Atraso ("&amp;TEXT(--K271---J271,"0")&amp;" d)"),IF(J271="","🔴 Sin Fecha Compromiso",IF(TODAY()&lt;=--J271,"🟢 En Plazo ("&amp;TEXT(--J271-TODAY(),"0")&amp;" d rest.)","🔴 Atrasado ("&amp;TEXT(TODAY()---J271,"0")&amp;" d)"))))</f>
        <v/>
      </c>
    </row>
    <row r="272" spans="12:12">
      <c r="L272" s="5" t="str">
        <f t="shared" ca="1" si="8"/>
        <v/>
      </c>
    </row>
    <row r="273" spans="12:12">
      <c r="L273" s="5" t="str">
        <f t="shared" ca="1" si="8"/>
        <v/>
      </c>
    </row>
    <row r="274" spans="12:12">
      <c r="L274" s="5" t="str">
        <f t="shared" ca="1" si="8"/>
        <v/>
      </c>
    </row>
    <row r="275" spans="12:12">
      <c r="L275" s="5" t="str">
        <f t="shared" ca="1" si="8"/>
        <v/>
      </c>
    </row>
    <row r="276" spans="12:12">
      <c r="L276" s="5" t="str">
        <f t="shared" ca="1" si="8"/>
        <v/>
      </c>
    </row>
    <row r="277" spans="12:12">
      <c r="L277" s="5" t="str">
        <f t="shared" ca="1" si="8"/>
        <v/>
      </c>
    </row>
    <row r="278" spans="12:12">
      <c r="L278" s="5" t="str">
        <f t="shared" ca="1" si="8"/>
        <v/>
      </c>
    </row>
    <row r="279" spans="12:12">
      <c r="L279" s="5" t="str">
        <f t="shared" ca="1" si="8"/>
        <v/>
      </c>
    </row>
    <row r="280" spans="12:12">
      <c r="L280" s="5" t="str">
        <f t="shared" ca="1" si="8"/>
        <v/>
      </c>
    </row>
    <row r="281" spans="12:12">
      <c r="L281" s="5" t="str">
        <f t="shared" ca="1" si="8"/>
        <v/>
      </c>
    </row>
    <row r="282" spans="12:12">
      <c r="L282" s="5" t="str">
        <f t="shared" ca="1" si="8"/>
        <v/>
      </c>
    </row>
    <row r="283" spans="12:12">
      <c r="L283" s="5" t="str">
        <f t="shared" ca="1" si="8"/>
        <v/>
      </c>
    </row>
    <row r="284" spans="12:12">
      <c r="L284" s="5" t="str">
        <f t="shared" ca="1" si="8"/>
        <v/>
      </c>
    </row>
    <row r="285" spans="12:12">
      <c r="L285" s="5" t="str">
        <f t="shared" ca="1" si="8"/>
        <v/>
      </c>
    </row>
    <row r="286" spans="12:12">
      <c r="L286" s="5" t="str">
        <f t="shared" ca="1" si="8"/>
        <v/>
      </c>
    </row>
    <row r="287" spans="12:12">
      <c r="L287" s="5" t="str">
        <f t="shared" ca="1" si="8"/>
        <v/>
      </c>
    </row>
    <row r="288" spans="12:12">
      <c r="L288" s="5" t="str">
        <f t="shared" ca="1" si="8"/>
        <v/>
      </c>
    </row>
    <row r="289" spans="12:12">
      <c r="L289" s="5" t="str">
        <f t="shared" ca="1" si="8"/>
        <v/>
      </c>
    </row>
    <row r="290" spans="12:12">
      <c r="L290" s="5" t="str">
        <f t="shared" ca="1" si="8"/>
        <v/>
      </c>
    </row>
    <row r="291" spans="12:12">
      <c r="L291" s="5" t="str">
        <f t="shared" ca="1" si="8"/>
        <v/>
      </c>
    </row>
    <row r="292" spans="12:12">
      <c r="L292" s="5" t="str">
        <f t="shared" ca="1" si="8"/>
        <v/>
      </c>
    </row>
    <row r="293" spans="12:12">
      <c r="L293" s="5" t="str">
        <f t="shared" ca="1" si="8"/>
        <v/>
      </c>
    </row>
    <row r="294" spans="12:12">
      <c r="L294" s="5" t="str">
        <f t="shared" ca="1" si="8"/>
        <v/>
      </c>
    </row>
    <row r="295" spans="12:12">
      <c r="L295" s="5" t="str">
        <f t="shared" ca="1" si="8"/>
        <v/>
      </c>
    </row>
    <row r="296" spans="12:12">
      <c r="L296" s="5" t="str">
        <f t="shared" ca="1" si="8"/>
        <v/>
      </c>
    </row>
    <row r="297" spans="12:12">
      <c r="L297" s="5" t="str">
        <f t="shared" ca="1" si="8"/>
        <v/>
      </c>
    </row>
    <row r="298" spans="12:12">
      <c r="L298" s="5" t="str">
        <f t="shared" ca="1" si="8"/>
        <v/>
      </c>
    </row>
    <row r="299" spans="12:12">
      <c r="L299" s="5" t="str">
        <f t="shared" ca="1" si="8"/>
        <v/>
      </c>
    </row>
    <row r="300" spans="12:12">
      <c r="L300" s="5" t="str">
        <f t="shared" ca="1" si="8"/>
        <v/>
      </c>
    </row>
    <row r="301" spans="12:12">
      <c r="L301" s="5" t="str">
        <f t="shared" ca="1" si="8"/>
        <v/>
      </c>
    </row>
    <row r="302" spans="12:12">
      <c r="L302" s="5" t="str">
        <f t="shared" ca="1" si="8"/>
        <v/>
      </c>
    </row>
    <row r="303" spans="12:12">
      <c r="L303" s="5" t="str">
        <f t="shared" ca="1" si="8"/>
        <v/>
      </c>
    </row>
    <row r="304" spans="12:12">
      <c r="L304" s="5" t="str">
        <f t="shared" ca="1" si="8"/>
        <v/>
      </c>
    </row>
    <row r="305" spans="12:12">
      <c r="L305" s="5" t="str">
        <f t="shared" ca="1" si="8"/>
        <v/>
      </c>
    </row>
    <row r="306" spans="12:12">
      <c r="L306" s="5" t="str">
        <f t="shared" ca="1" si="8"/>
        <v/>
      </c>
    </row>
    <row r="307" spans="12:12">
      <c r="L307" s="5" t="str">
        <f t="shared" ca="1" si="8"/>
        <v/>
      </c>
    </row>
    <row r="308" spans="12:12">
      <c r="L308" s="5" t="str">
        <f t="shared" ca="1" si="8"/>
        <v/>
      </c>
    </row>
    <row r="309" spans="12:12">
      <c r="L309" s="5" t="str">
        <f t="shared" ca="1" si="8"/>
        <v/>
      </c>
    </row>
    <row r="310" spans="12:12">
      <c r="L310" s="5" t="str">
        <f t="shared" ca="1" si="8"/>
        <v/>
      </c>
    </row>
    <row r="311" spans="12:12">
      <c r="L311" s="5" t="str">
        <f t="shared" ca="1" si="8"/>
        <v/>
      </c>
    </row>
    <row r="312" spans="12:12">
      <c r="L312" s="5" t="str">
        <f t="shared" ca="1" si="8"/>
        <v/>
      </c>
    </row>
    <row r="313" spans="12:12">
      <c r="L313" s="5" t="str">
        <f t="shared" ca="1" si="8"/>
        <v/>
      </c>
    </row>
    <row r="314" spans="12:12">
      <c r="L314" s="5" t="str">
        <f t="shared" ca="1" si="8"/>
        <v/>
      </c>
    </row>
    <row r="315" spans="12:12">
      <c r="L315" s="5" t="str">
        <f t="shared" ca="1" si="8"/>
        <v/>
      </c>
    </row>
    <row r="316" spans="12:12">
      <c r="L316" s="5" t="str">
        <f t="shared" ca="1" si="8"/>
        <v/>
      </c>
    </row>
    <row r="317" spans="12:12">
      <c r="L317" s="5" t="str">
        <f t="shared" ca="1" si="8"/>
        <v/>
      </c>
    </row>
    <row r="318" spans="12:12">
      <c r="L318" s="5" t="str">
        <f t="shared" ca="1" si="8"/>
        <v/>
      </c>
    </row>
    <row r="319" spans="12:12">
      <c r="L319" s="5" t="str">
        <f t="shared" ca="1" si="8"/>
        <v/>
      </c>
    </row>
    <row r="320" spans="12:12">
      <c r="L320" s="5" t="str">
        <f t="shared" ca="1" si="8"/>
        <v/>
      </c>
    </row>
    <row r="321" spans="12:12">
      <c r="L321" s="5" t="str">
        <f t="shared" ca="1" si="8"/>
        <v/>
      </c>
    </row>
    <row r="322" spans="12:12">
      <c r="L322" s="5" t="str">
        <f t="shared" ca="1" si="8"/>
        <v/>
      </c>
    </row>
    <row r="323" spans="12:12">
      <c r="L323" s="5" t="str">
        <f t="shared" ca="1" si="8"/>
        <v/>
      </c>
    </row>
    <row r="324" spans="12:12">
      <c r="L324" s="5" t="str">
        <f t="shared" ca="1" si="8"/>
        <v/>
      </c>
    </row>
    <row r="325" spans="12:12">
      <c r="L325" s="5" t="str">
        <f t="shared" ca="1" si="8"/>
        <v/>
      </c>
    </row>
    <row r="326" spans="12:12">
      <c r="L326" s="5" t="str">
        <f t="shared" ca="1" si="8"/>
        <v/>
      </c>
    </row>
    <row r="327" spans="12:12">
      <c r="L327" s="5" t="str">
        <f t="shared" ca="1" si="8"/>
        <v/>
      </c>
    </row>
    <row r="328" spans="12:12">
      <c r="L328" s="5" t="str">
        <f t="shared" ca="1" si="8"/>
        <v/>
      </c>
    </row>
    <row r="329" spans="12:12">
      <c r="L329" s="5" t="str">
        <f t="shared" ca="1" si="8"/>
        <v/>
      </c>
    </row>
    <row r="330" spans="12:12">
      <c r="L330" s="5" t="str">
        <f t="shared" ca="1" si="8"/>
        <v/>
      </c>
    </row>
    <row r="331" spans="12:12">
      <c r="L331" s="5" t="str">
        <f t="shared" ca="1" si="8"/>
        <v/>
      </c>
    </row>
    <row r="332" spans="12:12">
      <c r="L332" s="5" t="str">
        <f t="shared" ca="1" si="8"/>
        <v/>
      </c>
    </row>
    <row r="333" spans="12:12">
      <c r="L333" s="5" t="str">
        <f t="shared" ca="1" si="8"/>
        <v/>
      </c>
    </row>
    <row r="334" spans="12:12">
      <c r="L334" s="5" t="str">
        <f t="shared" ca="1" si="8"/>
        <v/>
      </c>
    </row>
    <row r="335" spans="12:12">
      <c r="L335" s="5" t="str">
        <f t="shared" ref="L335:L398" ca="1" si="9">IF(I335="","",IF(K335&lt;&gt;"",IF(--K335&lt;=--J335,"🟢 Cumplido a Tiempo","🟡 Entregado con Atraso ("&amp;TEXT(--K335---J335,"0")&amp;" d)"),IF(J335="","🔴 Sin Fecha Compromiso",IF(TODAY()&lt;=--J335,"🟢 En Plazo ("&amp;TEXT(--J335-TODAY(),"0")&amp;" d rest.)","🔴 Atrasado ("&amp;TEXT(TODAY()---J335,"0")&amp;" d)"))))</f>
        <v/>
      </c>
    </row>
    <row r="336" spans="12:12">
      <c r="L336" s="5" t="str">
        <f t="shared" ca="1" si="9"/>
        <v/>
      </c>
    </row>
    <row r="337" spans="12:12">
      <c r="L337" s="5" t="str">
        <f t="shared" ca="1" si="9"/>
        <v/>
      </c>
    </row>
    <row r="338" spans="12:12">
      <c r="L338" s="5" t="str">
        <f t="shared" ca="1" si="9"/>
        <v/>
      </c>
    </row>
    <row r="339" spans="12:12">
      <c r="L339" s="5" t="str">
        <f t="shared" ca="1" si="9"/>
        <v/>
      </c>
    </row>
    <row r="340" spans="12:12">
      <c r="L340" s="5" t="str">
        <f t="shared" ca="1" si="9"/>
        <v/>
      </c>
    </row>
    <row r="341" spans="12:12">
      <c r="L341" s="5" t="str">
        <f t="shared" ca="1" si="9"/>
        <v/>
      </c>
    </row>
    <row r="342" spans="12:12">
      <c r="L342" s="5" t="str">
        <f t="shared" ca="1" si="9"/>
        <v/>
      </c>
    </row>
    <row r="343" spans="12:12">
      <c r="L343" s="5" t="str">
        <f t="shared" ca="1" si="9"/>
        <v/>
      </c>
    </row>
    <row r="344" spans="12:12">
      <c r="L344" s="5" t="str">
        <f t="shared" ca="1" si="9"/>
        <v/>
      </c>
    </row>
    <row r="345" spans="12:12">
      <c r="L345" s="5" t="str">
        <f t="shared" ca="1" si="9"/>
        <v/>
      </c>
    </row>
    <row r="346" spans="12:12">
      <c r="L346" s="5" t="str">
        <f t="shared" ca="1" si="9"/>
        <v/>
      </c>
    </row>
    <row r="347" spans="12:12">
      <c r="L347" s="5" t="str">
        <f t="shared" ca="1" si="9"/>
        <v/>
      </c>
    </row>
    <row r="348" spans="12:12">
      <c r="L348" s="5" t="str">
        <f t="shared" ca="1" si="9"/>
        <v/>
      </c>
    </row>
    <row r="349" spans="12:12">
      <c r="L349" s="5" t="str">
        <f t="shared" ca="1" si="9"/>
        <v/>
      </c>
    </row>
    <row r="350" spans="12:12">
      <c r="L350" s="5" t="str">
        <f t="shared" ca="1" si="9"/>
        <v/>
      </c>
    </row>
    <row r="351" spans="12:12">
      <c r="L351" s="5" t="str">
        <f t="shared" ca="1" si="9"/>
        <v/>
      </c>
    </row>
    <row r="352" spans="12:12">
      <c r="L352" s="5" t="str">
        <f t="shared" ca="1" si="9"/>
        <v/>
      </c>
    </row>
    <row r="353" spans="12:12">
      <c r="L353" s="5" t="str">
        <f t="shared" ca="1" si="9"/>
        <v/>
      </c>
    </row>
    <row r="354" spans="12:12">
      <c r="L354" s="5" t="str">
        <f t="shared" ca="1" si="9"/>
        <v/>
      </c>
    </row>
    <row r="355" spans="12:12">
      <c r="L355" s="5" t="str">
        <f t="shared" ca="1" si="9"/>
        <v/>
      </c>
    </row>
    <row r="356" spans="12:12">
      <c r="L356" s="5" t="str">
        <f t="shared" ca="1" si="9"/>
        <v/>
      </c>
    </row>
    <row r="357" spans="12:12">
      <c r="L357" s="5" t="str">
        <f t="shared" ca="1" si="9"/>
        <v/>
      </c>
    </row>
    <row r="358" spans="12:12">
      <c r="L358" s="5" t="str">
        <f t="shared" ca="1" si="9"/>
        <v/>
      </c>
    </row>
    <row r="359" spans="12:12">
      <c r="L359" s="5" t="str">
        <f t="shared" ca="1" si="9"/>
        <v/>
      </c>
    </row>
    <row r="360" spans="12:12">
      <c r="L360" s="5" t="str">
        <f t="shared" ca="1" si="9"/>
        <v/>
      </c>
    </row>
    <row r="361" spans="12:12">
      <c r="L361" s="5" t="str">
        <f t="shared" ca="1" si="9"/>
        <v/>
      </c>
    </row>
    <row r="362" spans="12:12">
      <c r="L362" s="5" t="str">
        <f t="shared" ca="1" si="9"/>
        <v/>
      </c>
    </row>
    <row r="363" spans="12:12">
      <c r="L363" s="5" t="str">
        <f t="shared" ca="1" si="9"/>
        <v/>
      </c>
    </row>
    <row r="364" spans="12:12">
      <c r="L364" s="5" t="str">
        <f t="shared" ca="1" si="9"/>
        <v/>
      </c>
    </row>
    <row r="365" spans="12:12">
      <c r="L365" s="5" t="str">
        <f t="shared" ca="1" si="9"/>
        <v/>
      </c>
    </row>
    <row r="366" spans="12:12">
      <c r="L366" s="5" t="str">
        <f t="shared" ca="1" si="9"/>
        <v/>
      </c>
    </row>
    <row r="367" spans="12:12">
      <c r="L367" s="5" t="str">
        <f t="shared" ca="1" si="9"/>
        <v/>
      </c>
    </row>
    <row r="368" spans="12:12">
      <c r="L368" s="5" t="str">
        <f t="shared" ca="1" si="9"/>
        <v/>
      </c>
    </row>
    <row r="369" spans="12:12">
      <c r="L369" s="5" t="str">
        <f t="shared" ca="1" si="9"/>
        <v/>
      </c>
    </row>
    <row r="370" spans="12:12">
      <c r="L370" s="5" t="str">
        <f t="shared" ca="1" si="9"/>
        <v/>
      </c>
    </row>
    <row r="371" spans="12:12">
      <c r="L371" s="5" t="str">
        <f t="shared" ca="1" si="9"/>
        <v/>
      </c>
    </row>
    <row r="372" spans="12:12">
      <c r="L372" s="5" t="str">
        <f t="shared" ca="1" si="9"/>
        <v/>
      </c>
    </row>
    <row r="373" spans="12:12">
      <c r="L373" s="5" t="str">
        <f t="shared" ca="1" si="9"/>
        <v/>
      </c>
    </row>
    <row r="374" spans="12:12">
      <c r="L374" s="5" t="str">
        <f t="shared" ca="1" si="9"/>
        <v/>
      </c>
    </row>
    <row r="375" spans="12:12">
      <c r="L375" s="5" t="str">
        <f t="shared" ca="1" si="9"/>
        <v/>
      </c>
    </row>
    <row r="376" spans="12:12">
      <c r="L376" s="5" t="str">
        <f t="shared" ca="1" si="9"/>
        <v/>
      </c>
    </row>
    <row r="377" spans="12:12">
      <c r="L377" s="5" t="str">
        <f t="shared" ca="1" si="9"/>
        <v/>
      </c>
    </row>
    <row r="378" spans="12:12">
      <c r="L378" s="5" t="str">
        <f t="shared" ca="1" si="9"/>
        <v/>
      </c>
    </row>
    <row r="379" spans="12:12">
      <c r="L379" s="5" t="str">
        <f t="shared" ca="1" si="9"/>
        <v/>
      </c>
    </row>
    <row r="380" spans="12:12">
      <c r="L380" s="5" t="str">
        <f t="shared" ca="1" si="9"/>
        <v/>
      </c>
    </row>
    <row r="381" spans="12:12">
      <c r="L381" s="5" t="str">
        <f t="shared" ca="1" si="9"/>
        <v/>
      </c>
    </row>
    <row r="382" spans="12:12">
      <c r="L382" s="5" t="str">
        <f t="shared" ca="1" si="9"/>
        <v/>
      </c>
    </row>
    <row r="383" spans="12:12">
      <c r="L383" s="5" t="str">
        <f t="shared" ca="1" si="9"/>
        <v/>
      </c>
    </row>
    <row r="384" spans="12:12">
      <c r="L384" s="5" t="str">
        <f t="shared" ca="1" si="9"/>
        <v/>
      </c>
    </row>
    <row r="385" spans="12:12">
      <c r="L385" s="5" t="str">
        <f t="shared" ca="1" si="9"/>
        <v/>
      </c>
    </row>
    <row r="386" spans="12:12">
      <c r="L386" s="5" t="str">
        <f t="shared" ca="1" si="9"/>
        <v/>
      </c>
    </row>
    <row r="387" spans="12:12">
      <c r="L387" s="5" t="str">
        <f t="shared" ca="1" si="9"/>
        <v/>
      </c>
    </row>
    <row r="388" spans="12:12">
      <c r="L388" s="5" t="str">
        <f t="shared" ca="1" si="9"/>
        <v/>
      </c>
    </row>
    <row r="389" spans="12:12">
      <c r="L389" s="5" t="str">
        <f t="shared" ca="1" si="9"/>
        <v/>
      </c>
    </row>
    <row r="390" spans="12:12">
      <c r="L390" s="5" t="str">
        <f t="shared" ca="1" si="9"/>
        <v/>
      </c>
    </row>
    <row r="391" spans="12:12">
      <c r="L391" s="5" t="str">
        <f t="shared" ca="1" si="9"/>
        <v/>
      </c>
    </row>
    <row r="392" spans="12:12">
      <c r="L392" s="5" t="str">
        <f t="shared" ca="1" si="9"/>
        <v/>
      </c>
    </row>
    <row r="393" spans="12:12">
      <c r="L393" s="5" t="str">
        <f t="shared" ca="1" si="9"/>
        <v/>
      </c>
    </row>
    <row r="394" spans="12:12">
      <c r="L394" s="5" t="str">
        <f t="shared" ca="1" si="9"/>
        <v/>
      </c>
    </row>
    <row r="395" spans="12:12">
      <c r="L395" s="5" t="str">
        <f t="shared" ca="1" si="9"/>
        <v/>
      </c>
    </row>
    <row r="396" spans="12:12">
      <c r="L396" s="5" t="str">
        <f t="shared" ca="1" si="9"/>
        <v/>
      </c>
    </row>
    <row r="397" spans="12:12">
      <c r="L397" s="5" t="str">
        <f t="shared" ca="1" si="9"/>
        <v/>
      </c>
    </row>
    <row r="398" spans="12:12">
      <c r="L398" s="5" t="str">
        <f t="shared" ca="1" si="9"/>
        <v/>
      </c>
    </row>
    <row r="399" spans="12:12">
      <c r="L399" s="5" t="str">
        <f t="shared" ref="L399:L462" ca="1" si="10">IF(I399="","",IF(K399&lt;&gt;"",IF(--K399&lt;=--J399,"🟢 Cumplido a Tiempo","🟡 Entregado con Atraso ("&amp;TEXT(--K399---J399,"0")&amp;" d)"),IF(J399="","🔴 Sin Fecha Compromiso",IF(TODAY()&lt;=--J399,"🟢 En Plazo ("&amp;TEXT(--J399-TODAY(),"0")&amp;" d rest.)","🔴 Atrasado ("&amp;TEXT(TODAY()---J399,"0")&amp;" d)"))))</f>
        <v/>
      </c>
    </row>
    <row r="400" spans="12:12">
      <c r="L400" s="5" t="str">
        <f t="shared" ca="1" si="10"/>
        <v/>
      </c>
    </row>
    <row r="401" spans="12:12">
      <c r="L401" s="5" t="str">
        <f t="shared" ca="1" si="10"/>
        <v/>
      </c>
    </row>
    <row r="402" spans="12:12">
      <c r="L402" s="5" t="str">
        <f t="shared" ca="1" si="10"/>
        <v/>
      </c>
    </row>
    <row r="403" spans="12:12">
      <c r="L403" s="5" t="str">
        <f t="shared" ca="1" si="10"/>
        <v/>
      </c>
    </row>
    <row r="404" spans="12:12">
      <c r="L404" s="5" t="str">
        <f t="shared" ca="1" si="10"/>
        <v/>
      </c>
    </row>
    <row r="405" spans="12:12">
      <c r="L405" s="5" t="str">
        <f t="shared" ca="1" si="10"/>
        <v/>
      </c>
    </row>
    <row r="406" spans="12:12">
      <c r="L406" s="5" t="str">
        <f t="shared" ca="1" si="10"/>
        <v/>
      </c>
    </row>
    <row r="407" spans="12:12">
      <c r="L407" s="5" t="str">
        <f t="shared" ca="1" si="10"/>
        <v/>
      </c>
    </row>
    <row r="408" spans="12:12">
      <c r="L408" s="5" t="str">
        <f t="shared" ca="1" si="10"/>
        <v/>
      </c>
    </row>
    <row r="409" spans="12:12">
      <c r="L409" s="5" t="str">
        <f t="shared" ca="1" si="10"/>
        <v/>
      </c>
    </row>
    <row r="410" spans="12:12">
      <c r="L410" s="5" t="str">
        <f t="shared" ca="1" si="10"/>
        <v/>
      </c>
    </row>
    <row r="411" spans="12:12">
      <c r="L411" s="5" t="str">
        <f t="shared" ca="1" si="10"/>
        <v/>
      </c>
    </row>
    <row r="412" spans="12:12">
      <c r="L412" s="5" t="str">
        <f t="shared" ca="1" si="10"/>
        <v/>
      </c>
    </row>
    <row r="413" spans="12:12">
      <c r="L413" s="5" t="str">
        <f t="shared" ca="1" si="10"/>
        <v/>
      </c>
    </row>
    <row r="414" spans="12:12">
      <c r="L414" s="5" t="str">
        <f t="shared" ca="1" si="10"/>
        <v/>
      </c>
    </row>
    <row r="415" spans="12:12">
      <c r="L415" s="5" t="str">
        <f t="shared" ca="1" si="10"/>
        <v/>
      </c>
    </row>
    <row r="416" spans="12:12">
      <c r="L416" s="5" t="str">
        <f t="shared" ca="1" si="10"/>
        <v/>
      </c>
    </row>
    <row r="417" spans="12:12">
      <c r="L417" s="5" t="str">
        <f t="shared" ca="1" si="10"/>
        <v/>
      </c>
    </row>
    <row r="418" spans="12:12">
      <c r="L418" s="5" t="str">
        <f t="shared" ca="1" si="10"/>
        <v/>
      </c>
    </row>
    <row r="419" spans="12:12">
      <c r="L419" s="5" t="str">
        <f t="shared" ca="1" si="10"/>
        <v/>
      </c>
    </row>
    <row r="420" spans="12:12">
      <c r="L420" s="5" t="str">
        <f t="shared" ca="1" si="10"/>
        <v/>
      </c>
    </row>
    <row r="421" spans="12:12">
      <c r="L421" s="5" t="str">
        <f t="shared" ca="1" si="10"/>
        <v/>
      </c>
    </row>
    <row r="422" spans="12:12">
      <c r="L422" s="5" t="str">
        <f t="shared" ca="1" si="10"/>
        <v/>
      </c>
    </row>
    <row r="423" spans="12:12">
      <c r="L423" s="5" t="str">
        <f t="shared" ca="1" si="10"/>
        <v/>
      </c>
    </row>
    <row r="424" spans="12:12">
      <c r="L424" s="5" t="str">
        <f t="shared" ca="1" si="10"/>
        <v/>
      </c>
    </row>
    <row r="425" spans="12:12">
      <c r="L425" s="5" t="str">
        <f t="shared" ca="1" si="10"/>
        <v/>
      </c>
    </row>
    <row r="426" spans="12:12">
      <c r="L426" s="5" t="str">
        <f t="shared" ca="1" si="10"/>
        <v/>
      </c>
    </row>
    <row r="427" spans="12:12">
      <c r="L427" s="5" t="str">
        <f t="shared" ca="1" si="10"/>
        <v/>
      </c>
    </row>
    <row r="428" spans="12:12">
      <c r="L428" s="5" t="str">
        <f t="shared" ca="1" si="10"/>
        <v/>
      </c>
    </row>
    <row r="429" spans="12:12">
      <c r="L429" s="5" t="str">
        <f t="shared" ca="1" si="10"/>
        <v/>
      </c>
    </row>
    <row r="430" spans="12:12">
      <c r="L430" s="5" t="str">
        <f t="shared" ca="1" si="10"/>
        <v/>
      </c>
    </row>
    <row r="431" spans="12:12">
      <c r="L431" s="5" t="str">
        <f t="shared" ca="1" si="10"/>
        <v/>
      </c>
    </row>
    <row r="432" spans="12:12">
      <c r="L432" s="5" t="str">
        <f t="shared" ca="1" si="10"/>
        <v/>
      </c>
    </row>
    <row r="433" spans="12:12">
      <c r="L433" s="5" t="str">
        <f t="shared" ca="1" si="10"/>
        <v/>
      </c>
    </row>
    <row r="434" spans="12:12">
      <c r="L434" s="5" t="str">
        <f t="shared" ca="1" si="10"/>
        <v/>
      </c>
    </row>
    <row r="435" spans="12:12">
      <c r="L435" s="5" t="str">
        <f t="shared" ca="1" si="10"/>
        <v/>
      </c>
    </row>
    <row r="436" spans="12:12">
      <c r="L436" s="5" t="str">
        <f t="shared" ca="1" si="10"/>
        <v/>
      </c>
    </row>
    <row r="437" spans="12:12">
      <c r="L437" s="5" t="str">
        <f t="shared" ca="1" si="10"/>
        <v/>
      </c>
    </row>
    <row r="438" spans="12:12">
      <c r="L438" s="5" t="str">
        <f t="shared" ca="1" si="10"/>
        <v/>
      </c>
    </row>
    <row r="439" spans="12:12">
      <c r="L439" s="5" t="str">
        <f t="shared" ca="1" si="10"/>
        <v/>
      </c>
    </row>
    <row r="440" spans="12:12">
      <c r="L440" s="5" t="str">
        <f t="shared" ca="1" si="10"/>
        <v/>
      </c>
    </row>
    <row r="441" spans="12:12">
      <c r="L441" s="5" t="str">
        <f t="shared" ca="1" si="10"/>
        <v/>
      </c>
    </row>
    <row r="442" spans="12:12">
      <c r="L442" s="5" t="str">
        <f t="shared" ca="1" si="10"/>
        <v/>
      </c>
    </row>
    <row r="443" spans="12:12">
      <c r="L443" s="5" t="str">
        <f t="shared" ca="1" si="10"/>
        <v/>
      </c>
    </row>
    <row r="444" spans="12:12">
      <c r="L444" s="5" t="str">
        <f t="shared" ca="1" si="10"/>
        <v/>
      </c>
    </row>
    <row r="445" spans="12:12">
      <c r="L445" s="5" t="str">
        <f t="shared" ca="1" si="10"/>
        <v/>
      </c>
    </row>
    <row r="446" spans="12:12">
      <c r="L446" s="5" t="str">
        <f t="shared" ca="1" si="10"/>
        <v/>
      </c>
    </row>
    <row r="447" spans="12:12">
      <c r="L447" s="5" t="str">
        <f t="shared" ca="1" si="10"/>
        <v/>
      </c>
    </row>
    <row r="448" spans="12:12">
      <c r="L448" s="5" t="str">
        <f t="shared" ca="1" si="10"/>
        <v/>
      </c>
    </row>
    <row r="449" spans="12:12">
      <c r="L449" s="5" t="str">
        <f t="shared" ca="1" si="10"/>
        <v/>
      </c>
    </row>
    <row r="450" spans="12:12">
      <c r="L450" s="5" t="str">
        <f t="shared" ca="1" si="10"/>
        <v/>
      </c>
    </row>
    <row r="451" spans="12:12">
      <c r="L451" s="5" t="str">
        <f t="shared" ca="1" si="10"/>
        <v/>
      </c>
    </row>
    <row r="452" spans="12:12">
      <c r="L452" s="5" t="str">
        <f t="shared" ca="1" si="10"/>
        <v/>
      </c>
    </row>
    <row r="453" spans="12:12">
      <c r="L453" s="5" t="str">
        <f t="shared" ca="1" si="10"/>
        <v/>
      </c>
    </row>
    <row r="454" spans="12:12">
      <c r="L454" s="5" t="str">
        <f t="shared" ca="1" si="10"/>
        <v/>
      </c>
    </row>
    <row r="455" spans="12:12">
      <c r="L455" s="5" t="str">
        <f t="shared" ca="1" si="10"/>
        <v/>
      </c>
    </row>
    <row r="456" spans="12:12">
      <c r="L456" s="5" t="str">
        <f t="shared" ca="1" si="10"/>
        <v/>
      </c>
    </row>
    <row r="457" spans="12:12">
      <c r="L457" s="5" t="str">
        <f t="shared" ca="1" si="10"/>
        <v/>
      </c>
    </row>
    <row r="458" spans="12:12">
      <c r="L458" s="5" t="str">
        <f t="shared" ca="1" si="10"/>
        <v/>
      </c>
    </row>
    <row r="459" spans="12:12">
      <c r="L459" s="5" t="str">
        <f t="shared" ca="1" si="10"/>
        <v/>
      </c>
    </row>
    <row r="460" spans="12:12">
      <c r="L460" s="5" t="str">
        <f t="shared" ca="1" si="10"/>
        <v/>
      </c>
    </row>
    <row r="461" spans="12:12">
      <c r="L461" s="5" t="str">
        <f t="shared" ca="1" si="10"/>
        <v/>
      </c>
    </row>
    <row r="462" spans="12:12">
      <c r="L462" s="5" t="str">
        <f t="shared" ca="1" si="10"/>
        <v/>
      </c>
    </row>
    <row r="463" spans="12:12">
      <c r="L463" s="5" t="str">
        <f t="shared" ref="L463:L526" ca="1" si="11">IF(I463="","",IF(K463&lt;&gt;"",IF(--K463&lt;=--J463,"🟢 Cumplido a Tiempo","🟡 Entregado con Atraso ("&amp;TEXT(--K463---J463,"0")&amp;" d)"),IF(J463="","🔴 Sin Fecha Compromiso",IF(TODAY()&lt;=--J463,"🟢 En Plazo ("&amp;TEXT(--J463-TODAY(),"0")&amp;" d rest.)","🔴 Atrasado ("&amp;TEXT(TODAY()---J463,"0")&amp;" d)"))))</f>
        <v/>
      </c>
    </row>
    <row r="464" spans="12:12">
      <c r="L464" s="5" t="str">
        <f t="shared" ca="1" si="11"/>
        <v/>
      </c>
    </row>
    <row r="465" spans="12:12">
      <c r="L465" s="5" t="str">
        <f t="shared" ca="1" si="11"/>
        <v/>
      </c>
    </row>
    <row r="466" spans="12:12">
      <c r="L466" s="5" t="str">
        <f t="shared" ca="1" si="11"/>
        <v/>
      </c>
    </row>
    <row r="467" spans="12:12">
      <c r="L467" s="5" t="str">
        <f t="shared" ca="1" si="11"/>
        <v/>
      </c>
    </row>
    <row r="468" spans="12:12">
      <c r="L468" s="5" t="str">
        <f t="shared" ca="1" si="11"/>
        <v/>
      </c>
    </row>
    <row r="469" spans="12:12">
      <c r="L469" s="5" t="str">
        <f t="shared" ca="1" si="11"/>
        <v/>
      </c>
    </row>
    <row r="470" spans="12:12">
      <c r="L470" s="5" t="str">
        <f t="shared" ca="1" si="11"/>
        <v/>
      </c>
    </row>
    <row r="471" spans="12:12">
      <c r="L471" s="5" t="str">
        <f t="shared" ca="1" si="11"/>
        <v/>
      </c>
    </row>
    <row r="472" spans="12:12">
      <c r="L472" s="5" t="str">
        <f t="shared" ca="1" si="11"/>
        <v/>
      </c>
    </row>
    <row r="473" spans="12:12">
      <c r="L473" s="5" t="str">
        <f t="shared" ca="1" si="11"/>
        <v/>
      </c>
    </row>
    <row r="474" spans="12:12">
      <c r="L474" s="5" t="str">
        <f t="shared" ca="1" si="11"/>
        <v/>
      </c>
    </row>
    <row r="475" spans="12:12">
      <c r="L475" s="5" t="str">
        <f t="shared" ca="1" si="11"/>
        <v/>
      </c>
    </row>
    <row r="476" spans="12:12">
      <c r="L476" s="5" t="str">
        <f t="shared" ca="1" si="11"/>
        <v/>
      </c>
    </row>
    <row r="477" spans="12:12">
      <c r="L477" s="5" t="str">
        <f t="shared" ca="1" si="11"/>
        <v/>
      </c>
    </row>
    <row r="478" spans="12:12">
      <c r="L478" s="5" t="str">
        <f t="shared" ca="1" si="11"/>
        <v/>
      </c>
    </row>
    <row r="479" spans="12:12">
      <c r="L479" s="5" t="str">
        <f t="shared" ca="1" si="11"/>
        <v/>
      </c>
    </row>
    <row r="480" spans="12:12">
      <c r="L480" s="5" t="str">
        <f t="shared" ca="1" si="11"/>
        <v/>
      </c>
    </row>
    <row r="481" spans="12:12">
      <c r="L481" s="5" t="str">
        <f t="shared" ca="1" si="11"/>
        <v/>
      </c>
    </row>
    <row r="482" spans="12:12">
      <c r="L482" s="5" t="str">
        <f t="shared" ca="1" si="11"/>
        <v/>
      </c>
    </row>
    <row r="483" spans="12:12">
      <c r="L483" s="5" t="str">
        <f t="shared" ca="1" si="11"/>
        <v/>
      </c>
    </row>
    <row r="484" spans="12:12">
      <c r="L484" s="5" t="str">
        <f t="shared" ca="1" si="11"/>
        <v/>
      </c>
    </row>
    <row r="485" spans="12:12">
      <c r="L485" s="5" t="str">
        <f t="shared" ca="1" si="11"/>
        <v/>
      </c>
    </row>
    <row r="486" spans="12:12">
      <c r="L486" s="5" t="str">
        <f t="shared" ca="1" si="11"/>
        <v/>
      </c>
    </row>
    <row r="487" spans="12:12">
      <c r="L487" s="5" t="str">
        <f t="shared" ca="1" si="11"/>
        <v/>
      </c>
    </row>
    <row r="488" spans="12:12">
      <c r="L488" s="5" t="str">
        <f t="shared" ca="1" si="11"/>
        <v/>
      </c>
    </row>
    <row r="489" spans="12:12">
      <c r="L489" s="5" t="str">
        <f t="shared" ca="1" si="11"/>
        <v/>
      </c>
    </row>
    <row r="490" spans="12:12">
      <c r="L490" s="5" t="str">
        <f t="shared" ca="1" si="11"/>
        <v/>
      </c>
    </row>
    <row r="491" spans="12:12">
      <c r="L491" s="5" t="str">
        <f t="shared" ca="1" si="11"/>
        <v/>
      </c>
    </row>
    <row r="492" spans="12:12">
      <c r="L492" s="5" t="str">
        <f t="shared" ca="1" si="11"/>
        <v/>
      </c>
    </row>
    <row r="493" spans="12:12">
      <c r="L493" s="5" t="str">
        <f t="shared" ca="1" si="11"/>
        <v/>
      </c>
    </row>
    <row r="494" spans="12:12">
      <c r="L494" s="5" t="str">
        <f t="shared" ca="1" si="11"/>
        <v/>
      </c>
    </row>
    <row r="495" spans="12:12">
      <c r="L495" s="5" t="str">
        <f t="shared" ca="1" si="11"/>
        <v/>
      </c>
    </row>
    <row r="496" spans="12:12">
      <c r="L496" s="5" t="str">
        <f t="shared" ca="1" si="11"/>
        <v/>
      </c>
    </row>
    <row r="497" spans="12:12">
      <c r="L497" s="5" t="str">
        <f t="shared" ca="1" si="11"/>
        <v/>
      </c>
    </row>
    <row r="498" spans="12:12">
      <c r="L498" s="5" t="str">
        <f t="shared" ca="1" si="11"/>
        <v/>
      </c>
    </row>
    <row r="499" spans="12:12">
      <c r="L499" s="5" t="str">
        <f t="shared" ca="1" si="11"/>
        <v/>
      </c>
    </row>
    <row r="500" spans="12:12">
      <c r="L500" s="5" t="str">
        <f t="shared" ca="1" si="11"/>
        <v/>
      </c>
    </row>
    <row r="501" spans="12:12">
      <c r="L501" s="5" t="str">
        <f t="shared" ca="1" si="11"/>
        <v/>
      </c>
    </row>
    <row r="502" spans="12:12">
      <c r="L502" s="5" t="str">
        <f t="shared" ca="1" si="11"/>
        <v/>
      </c>
    </row>
    <row r="503" spans="12:12">
      <c r="L503" s="5" t="str">
        <f t="shared" ca="1" si="11"/>
        <v/>
      </c>
    </row>
    <row r="504" spans="12:12">
      <c r="L504" s="5" t="str">
        <f t="shared" ca="1" si="11"/>
        <v/>
      </c>
    </row>
    <row r="505" spans="12:12">
      <c r="L505" s="5" t="str">
        <f t="shared" ca="1" si="11"/>
        <v/>
      </c>
    </row>
    <row r="506" spans="12:12">
      <c r="L506" s="5" t="str">
        <f t="shared" ca="1" si="11"/>
        <v/>
      </c>
    </row>
    <row r="507" spans="12:12">
      <c r="L507" s="5" t="str">
        <f t="shared" ca="1" si="11"/>
        <v/>
      </c>
    </row>
    <row r="508" spans="12:12">
      <c r="L508" s="5" t="str">
        <f t="shared" ca="1" si="11"/>
        <v/>
      </c>
    </row>
    <row r="509" spans="12:12">
      <c r="L509" s="5" t="str">
        <f t="shared" ca="1" si="11"/>
        <v/>
      </c>
    </row>
    <row r="510" spans="12:12">
      <c r="L510" s="5" t="str">
        <f t="shared" ca="1" si="11"/>
        <v/>
      </c>
    </row>
    <row r="511" spans="12:12">
      <c r="L511" s="5" t="str">
        <f t="shared" ca="1" si="11"/>
        <v/>
      </c>
    </row>
    <row r="512" spans="12:12">
      <c r="L512" s="5" t="str">
        <f t="shared" ca="1" si="11"/>
        <v/>
      </c>
    </row>
    <row r="513" spans="12:12">
      <c r="L513" s="5" t="str">
        <f t="shared" ca="1" si="11"/>
        <v/>
      </c>
    </row>
    <row r="514" spans="12:12">
      <c r="L514" s="5" t="str">
        <f t="shared" ca="1" si="11"/>
        <v/>
      </c>
    </row>
    <row r="515" spans="12:12">
      <c r="L515" s="5" t="str">
        <f t="shared" ca="1" si="11"/>
        <v/>
      </c>
    </row>
    <row r="516" spans="12:12">
      <c r="L516" s="5" t="str">
        <f t="shared" ca="1" si="11"/>
        <v/>
      </c>
    </row>
    <row r="517" spans="12:12">
      <c r="L517" s="5" t="str">
        <f t="shared" ca="1" si="11"/>
        <v/>
      </c>
    </row>
    <row r="518" spans="12:12">
      <c r="L518" s="5" t="str">
        <f t="shared" ca="1" si="11"/>
        <v/>
      </c>
    </row>
    <row r="519" spans="12:12">
      <c r="L519" s="5" t="str">
        <f t="shared" ca="1" si="11"/>
        <v/>
      </c>
    </row>
    <row r="520" spans="12:12">
      <c r="L520" s="5" t="str">
        <f t="shared" ca="1" si="11"/>
        <v/>
      </c>
    </row>
    <row r="521" spans="12:12">
      <c r="L521" s="5" t="str">
        <f t="shared" ca="1" si="11"/>
        <v/>
      </c>
    </row>
    <row r="522" spans="12:12">
      <c r="L522" s="5" t="str">
        <f t="shared" ca="1" si="11"/>
        <v/>
      </c>
    </row>
    <row r="523" spans="12:12">
      <c r="L523" s="5" t="str">
        <f t="shared" ca="1" si="11"/>
        <v/>
      </c>
    </row>
    <row r="524" spans="12:12">
      <c r="L524" s="5" t="str">
        <f t="shared" ca="1" si="11"/>
        <v/>
      </c>
    </row>
    <row r="525" spans="12:12">
      <c r="L525" s="5" t="str">
        <f t="shared" ca="1" si="11"/>
        <v/>
      </c>
    </row>
    <row r="526" spans="12:12">
      <c r="L526" s="5" t="str">
        <f t="shared" ca="1" si="11"/>
        <v/>
      </c>
    </row>
    <row r="527" spans="12:12">
      <c r="L527" s="5" t="str">
        <f t="shared" ref="L527:L590" ca="1" si="12">IF(I527="","",IF(K527&lt;&gt;"",IF(--K527&lt;=--J527,"🟢 Cumplido a Tiempo","🟡 Entregado con Atraso ("&amp;TEXT(--K527---J527,"0")&amp;" d)"),IF(J527="","🔴 Sin Fecha Compromiso",IF(TODAY()&lt;=--J527,"🟢 En Plazo ("&amp;TEXT(--J527-TODAY(),"0")&amp;" d rest.)","🔴 Atrasado ("&amp;TEXT(TODAY()---J527,"0")&amp;" d)"))))</f>
        <v/>
      </c>
    </row>
    <row r="528" spans="12:12">
      <c r="L528" s="5" t="str">
        <f t="shared" ca="1" si="12"/>
        <v/>
      </c>
    </row>
    <row r="529" spans="12:12">
      <c r="L529" s="5" t="str">
        <f t="shared" ca="1" si="12"/>
        <v/>
      </c>
    </row>
    <row r="530" spans="12:12">
      <c r="L530" s="5" t="str">
        <f t="shared" ca="1" si="12"/>
        <v/>
      </c>
    </row>
    <row r="531" spans="12:12">
      <c r="L531" s="5" t="str">
        <f t="shared" ca="1" si="12"/>
        <v/>
      </c>
    </row>
    <row r="532" spans="12:12">
      <c r="L532" s="5" t="str">
        <f t="shared" ca="1" si="12"/>
        <v/>
      </c>
    </row>
    <row r="533" spans="12:12">
      <c r="L533" s="5" t="str">
        <f t="shared" ca="1" si="12"/>
        <v/>
      </c>
    </row>
    <row r="534" spans="12:12">
      <c r="L534" s="5" t="str">
        <f t="shared" ca="1" si="12"/>
        <v/>
      </c>
    </row>
    <row r="535" spans="12:12">
      <c r="L535" s="5" t="str">
        <f t="shared" ca="1" si="12"/>
        <v/>
      </c>
    </row>
    <row r="536" spans="12:12">
      <c r="L536" s="5" t="str">
        <f t="shared" ca="1" si="12"/>
        <v/>
      </c>
    </row>
    <row r="537" spans="12:12">
      <c r="L537" s="5" t="str">
        <f t="shared" ca="1" si="12"/>
        <v/>
      </c>
    </row>
    <row r="538" spans="12:12">
      <c r="L538" s="5" t="str">
        <f t="shared" ca="1" si="12"/>
        <v/>
      </c>
    </row>
    <row r="539" spans="12:12">
      <c r="L539" s="5" t="str">
        <f t="shared" ca="1" si="12"/>
        <v/>
      </c>
    </row>
    <row r="540" spans="12:12">
      <c r="L540" s="5" t="str">
        <f t="shared" ca="1" si="12"/>
        <v/>
      </c>
    </row>
    <row r="541" spans="12:12">
      <c r="L541" s="5" t="str">
        <f t="shared" ca="1" si="12"/>
        <v/>
      </c>
    </row>
    <row r="542" spans="12:12">
      <c r="L542" s="5" t="str">
        <f t="shared" ca="1" si="12"/>
        <v/>
      </c>
    </row>
    <row r="543" spans="12:12">
      <c r="L543" s="5" t="str">
        <f t="shared" ca="1" si="12"/>
        <v/>
      </c>
    </row>
    <row r="544" spans="12:12">
      <c r="L544" s="5" t="str">
        <f t="shared" ca="1" si="12"/>
        <v/>
      </c>
    </row>
    <row r="545" spans="12:12">
      <c r="L545" s="5" t="str">
        <f t="shared" ca="1" si="12"/>
        <v/>
      </c>
    </row>
    <row r="546" spans="12:12">
      <c r="L546" s="5" t="str">
        <f t="shared" ca="1" si="12"/>
        <v/>
      </c>
    </row>
    <row r="547" spans="12:12">
      <c r="L547" s="5" t="str">
        <f t="shared" ca="1" si="12"/>
        <v/>
      </c>
    </row>
    <row r="548" spans="12:12">
      <c r="L548" s="5" t="str">
        <f t="shared" ca="1" si="12"/>
        <v/>
      </c>
    </row>
    <row r="549" spans="12:12">
      <c r="L549" s="5" t="str">
        <f t="shared" ca="1" si="12"/>
        <v/>
      </c>
    </row>
    <row r="550" spans="12:12">
      <c r="L550" s="5" t="str">
        <f t="shared" ca="1" si="12"/>
        <v/>
      </c>
    </row>
    <row r="551" spans="12:12">
      <c r="L551" s="5" t="str">
        <f t="shared" ca="1" si="12"/>
        <v/>
      </c>
    </row>
    <row r="552" spans="12:12">
      <c r="L552" s="5" t="str">
        <f t="shared" ca="1" si="12"/>
        <v/>
      </c>
    </row>
    <row r="553" spans="12:12">
      <c r="L553" s="5" t="str">
        <f t="shared" ca="1" si="12"/>
        <v/>
      </c>
    </row>
    <row r="554" spans="12:12">
      <c r="L554" s="5" t="str">
        <f t="shared" ca="1" si="12"/>
        <v/>
      </c>
    </row>
    <row r="555" spans="12:12">
      <c r="L555" s="5" t="str">
        <f t="shared" ca="1" si="12"/>
        <v/>
      </c>
    </row>
    <row r="556" spans="12:12">
      <c r="L556" s="5" t="str">
        <f t="shared" ca="1" si="12"/>
        <v/>
      </c>
    </row>
    <row r="557" spans="12:12">
      <c r="L557" s="5" t="str">
        <f t="shared" ca="1" si="12"/>
        <v/>
      </c>
    </row>
    <row r="558" spans="12:12">
      <c r="L558" s="5" t="str">
        <f t="shared" ca="1" si="12"/>
        <v/>
      </c>
    </row>
    <row r="559" spans="12:12">
      <c r="L559" s="5" t="str">
        <f t="shared" ca="1" si="12"/>
        <v/>
      </c>
    </row>
    <row r="560" spans="12:12">
      <c r="L560" s="5" t="str">
        <f t="shared" ca="1" si="12"/>
        <v/>
      </c>
    </row>
    <row r="561" spans="12:12">
      <c r="L561" s="5" t="str">
        <f t="shared" ca="1" si="12"/>
        <v/>
      </c>
    </row>
    <row r="562" spans="12:12">
      <c r="L562" s="5" t="str">
        <f t="shared" ca="1" si="12"/>
        <v/>
      </c>
    </row>
    <row r="563" spans="12:12">
      <c r="L563" s="5" t="str">
        <f t="shared" ca="1" si="12"/>
        <v/>
      </c>
    </row>
    <row r="564" spans="12:12">
      <c r="L564" s="5" t="str">
        <f t="shared" ca="1" si="12"/>
        <v/>
      </c>
    </row>
    <row r="565" spans="12:12">
      <c r="L565" s="5" t="str">
        <f t="shared" ca="1" si="12"/>
        <v/>
      </c>
    </row>
    <row r="566" spans="12:12">
      <c r="L566" s="5" t="str">
        <f t="shared" ca="1" si="12"/>
        <v/>
      </c>
    </row>
    <row r="567" spans="12:12">
      <c r="L567" s="5" t="str">
        <f t="shared" ca="1" si="12"/>
        <v/>
      </c>
    </row>
    <row r="568" spans="12:12">
      <c r="L568" s="5" t="str">
        <f t="shared" ca="1" si="12"/>
        <v/>
      </c>
    </row>
    <row r="569" spans="12:12">
      <c r="L569" s="5" t="str">
        <f t="shared" ca="1" si="12"/>
        <v/>
      </c>
    </row>
    <row r="570" spans="12:12">
      <c r="L570" s="5" t="str">
        <f t="shared" ca="1" si="12"/>
        <v/>
      </c>
    </row>
    <row r="571" spans="12:12">
      <c r="L571" s="5" t="str">
        <f t="shared" ca="1" si="12"/>
        <v/>
      </c>
    </row>
    <row r="572" spans="12:12">
      <c r="L572" s="5" t="str">
        <f t="shared" ca="1" si="12"/>
        <v/>
      </c>
    </row>
    <row r="573" spans="12:12">
      <c r="L573" s="5" t="str">
        <f t="shared" ca="1" si="12"/>
        <v/>
      </c>
    </row>
    <row r="574" spans="12:12">
      <c r="L574" s="5" t="str">
        <f t="shared" ca="1" si="12"/>
        <v/>
      </c>
    </row>
    <row r="575" spans="12:12">
      <c r="L575" s="5" t="str">
        <f t="shared" ca="1" si="12"/>
        <v/>
      </c>
    </row>
    <row r="576" spans="12:12">
      <c r="L576" s="5" t="str">
        <f t="shared" ca="1" si="12"/>
        <v/>
      </c>
    </row>
    <row r="577" spans="12:12">
      <c r="L577" s="5" t="str">
        <f t="shared" ca="1" si="12"/>
        <v/>
      </c>
    </row>
    <row r="578" spans="12:12">
      <c r="L578" s="5" t="str">
        <f t="shared" ca="1" si="12"/>
        <v/>
      </c>
    </row>
    <row r="579" spans="12:12">
      <c r="L579" s="5" t="str">
        <f t="shared" ca="1" si="12"/>
        <v/>
      </c>
    </row>
    <row r="580" spans="12:12">
      <c r="L580" s="5" t="str">
        <f t="shared" ca="1" si="12"/>
        <v/>
      </c>
    </row>
    <row r="581" spans="12:12">
      <c r="L581" s="5" t="str">
        <f t="shared" ca="1" si="12"/>
        <v/>
      </c>
    </row>
    <row r="582" spans="12:12">
      <c r="L582" s="5" t="str">
        <f t="shared" ca="1" si="12"/>
        <v/>
      </c>
    </row>
    <row r="583" spans="12:12">
      <c r="L583" s="5" t="str">
        <f t="shared" ca="1" si="12"/>
        <v/>
      </c>
    </row>
    <row r="584" spans="12:12">
      <c r="L584" s="5" t="str">
        <f t="shared" ca="1" si="12"/>
        <v/>
      </c>
    </row>
    <row r="585" spans="12:12">
      <c r="L585" s="5" t="str">
        <f t="shared" ca="1" si="12"/>
        <v/>
      </c>
    </row>
    <row r="586" spans="12:12">
      <c r="L586" s="5" t="str">
        <f t="shared" ca="1" si="12"/>
        <v/>
      </c>
    </row>
    <row r="587" spans="12:12">
      <c r="L587" s="5" t="str">
        <f t="shared" ca="1" si="12"/>
        <v/>
      </c>
    </row>
    <row r="588" spans="12:12">
      <c r="L588" s="5" t="str">
        <f t="shared" ca="1" si="12"/>
        <v/>
      </c>
    </row>
    <row r="589" spans="12:12">
      <c r="L589" s="5" t="str">
        <f t="shared" ca="1" si="12"/>
        <v/>
      </c>
    </row>
    <row r="590" spans="12:12">
      <c r="L590" s="5" t="str">
        <f t="shared" ca="1" si="12"/>
        <v/>
      </c>
    </row>
    <row r="591" spans="12:12">
      <c r="L591" s="5" t="str">
        <f t="shared" ref="L591:L654" ca="1" si="13">IF(I591="","",IF(K591&lt;&gt;"",IF(--K591&lt;=--J591,"🟢 Cumplido a Tiempo","🟡 Entregado con Atraso ("&amp;TEXT(--K591---J591,"0")&amp;" d)"),IF(J591="","🔴 Sin Fecha Compromiso",IF(TODAY()&lt;=--J591,"🟢 En Plazo ("&amp;TEXT(--J591-TODAY(),"0")&amp;" d rest.)","🔴 Atrasado ("&amp;TEXT(TODAY()---J591,"0")&amp;" d)"))))</f>
        <v/>
      </c>
    </row>
    <row r="592" spans="12:12">
      <c r="L592" s="5" t="str">
        <f t="shared" ca="1" si="13"/>
        <v/>
      </c>
    </row>
    <row r="593" spans="12:12">
      <c r="L593" s="5" t="str">
        <f t="shared" ca="1" si="13"/>
        <v/>
      </c>
    </row>
    <row r="594" spans="12:12">
      <c r="L594" s="5" t="str">
        <f t="shared" ca="1" si="13"/>
        <v/>
      </c>
    </row>
    <row r="595" spans="12:12">
      <c r="L595" s="5" t="str">
        <f t="shared" ca="1" si="13"/>
        <v/>
      </c>
    </row>
    <row r="596" spans="12:12">
      <c r="L596" s="5" t="str">
        <f t="shared" ca="1" si="13"/>
        <v/>
      </c>
    </row>
    <row r="597" spans="12:12">
      <c r="L597" s="5" t="str">
        <f t="shared" ca="1" si="13"/>
        <v/>
      </c>
    </row>
    <row r="598" spans="12:12">
      <c r="L598" s="5" t="str">
        <f t="shared" ca="1" si="13"/>
        <v/>
      </c>
    </row>
    <row r="599" spans="12:12">
      <c r="L599" s="5" t="str">
        <f t="shared" ca="1" si="13"/>
        <v/>
      </c>
    </row>
    <row r="600" spans="12:12">
      <c r="L600" s="5" t="str">
        <f t="shared" ca="1" si="13"/>
        <v/>
      </c>
    </row>
    <row r="601" spans="12:12">
      <c r="L601" s="5" t="str">
        <f t="shared" ca="1" si="13"/>
        <v/>
      </c>
    </row>
    <row r="602" spans="12:12">
      <c r="L602" s="5" t="str">
        <f t="shared" ca="1" si="13"/>
        <v/>
      </c>
    </row>
    <row r="603" spans="12:12">
      <c r="L603" s="5" t="str">
        <f t="shared" ca="1" si="13"/>
        <v/>
      </c>
    </row>
    <row r="604" spans="12:12">
      <c r="L604" s="5" t="str">
        <f t="shared" ca="1" si="13"/>
        <v/>
      </c>
    </row>
    <row r="605" spans="12:12">
      <c r="L605" s="5" t="str">
        <f t="shared" ca="1" si="13"/>
        <v/>
      </c>
    </row>
    <row r="606" spans="12:12">
      <c r="L606" s="5" t="str">
        <f t="shared" ca="1" si="13"/>
        <v/>
      </c>
    </row>
    <row r="607" spans="12:12">
      <c r="L607" s="5" t="str">
        <f t="shared" ca="1" si="13"/>
        <v/>
      </c>
    </row>
    <row r="608" spans="12:12">
      <c r="L608" s="5" t="str">
        <f t="shared" ca="1" si="13"/>
        <v/>
      </c>
    </row>
    <row r="609" spans="12:12">
      <c r="L609" s="5" t="str">
        <f t="shared" ca="1" si="13"/>
        <v/>
      </c>
    </row>
    <row r="610" spans="12:12">
      <c r="L610" s="5" t="str">
        <f t="shared" ca="1" si="13"/>
        <v/>
      </c>
    </row>
    <row r="611" spans="12:12">
      <c r="L611" s="5" t="str">
        <f t="shared" ca="1" si="13"/>
        <v/>
      </c>
    </row>
    <row r="612" spans="12:12">
      <c r="L612" s="5" t="str">
        <f t="shared" ca="1" si="13"/>
        <v/>
      </c>
    </row>
    <row r="613" spans="12:12">
      <c r="L613" s="5" t="str">
        <f t="shared" ca="1" si="13"/>
        <v/>
      </c>
    </row>
    <row r="614" spans="12:12">
      <c r="L614" s="5" t="str">
        <f t="shared" ca="1" si="13"/>
        <v/>
      </c>
    </row>
    <row r="615" spans="12:12">
      <c r="L615" s="5" t="str">
        <f t="shared" ca="1" si="13"/>
        <v/>
      </c>
    </row>
    <row r="616" spans="12:12">
      <c r="L616" s="5" t="str">
        <f t="shared" ca="1" si="13"/>
        <v/>
      </c>
    </row>
    <row r="617" spans="12:12">
      <c r="L617" s="5" t="str">
        <f t="shared" ca="1" si="13"/>
        <v/>
      </c>
    </row>
    <row r="618" spans="12:12">
      <c r="L618" s="5" t="str">
        <f t="shared" ca="1" si="13"/>
        <v/>
      </c>
    </row>
    <row r="619" spans="12:12">
      <c r="L619" s="5" t="str">
        <f t="shared" ca="1" si="13"/>
        <v/>
      </c>
    </row>
    <row r="620" spans="12:12">
      <c r="L620" s="5" t="str">
        <f t="shared" ca="1" si="13"/>
        <v/>
      </c>
    </row>
    <row r="621" spans="12:12">
      <c r="L621" s="5" t="str">
        <f t="shared" ca="1" si="13"/>
        <v/>
      </c>
    </row>
    <row r="622" spans="12:12">
      <c r="L622" s="5" t="str">
        <f t="shared" ca="1" si="13"/>
        <v/>
      </c>
    </row>
    <row r="623" spans="12:12">
      <c r="L623" s="5" t="str">
        <f t="shared" ca="1" si="13"/>
        <v/>
      </c>
    </row>
    <row r="624" spans="12:12">
      <c r="L624" s="5" t="str">
        <f t="shared" ca="1" si="13"/>
        <v/>
      </c>
    </row>
    <row r="625" spans="12:12">
      <c r="L625" s="5" t="str">
        <f t="shared" ca="1" si="13"/>
        <v/>
      </c>
    </row>
    <row r="626" spans="12:12">
      <c r="L626" s="5" t="str">
        <f t="shared" ca="1" si="13"/>
        <v/>
      </c>
    </row>
    <row r="627" spans="12:12">
      <c r="L627" s="5" t="str">
        <f t="shared" ca="1" si="13"/>
        <v/>
      </c>
    </row>
    <row r="628" spans="12:12">
      <c r="L628" s="5" t="str">
        <f t="shared" ca="1" si="13"/>
        <v/>
      </c>
    </row>
    <row r="629" spans="12:12">
      <c r="L629" s="5" t="str">
        <f t="shared" ca="1" si="13"/>
        <v/>
      </c>
    </row>
    <row r="630" spans="12:12">
      <c r="L630" s="5" t="str">
        <f t="shared" ca="1" si="13"/>
        <v/>
      </c>
    </row>
    <row r="631" spans="12:12">
      <c r="L631" s="5" t="str">
        <f t="shared" ca="1" si="13"/>
        <v/>
      </c>
    </row>
    <row r="632" spans="12:12">
      <c r="L632" s="5" t="str">
        <f t="shared" ca="1" si="13"/>
        <v/>
      </c>
    </row>
    <row r="633" spans="12:12">
      <c r="L633" s="5" t="str">
        <f t="shared" ca="1" si="13"/>
        <v/>
      </c>
    </row>
    <row r="634" spans="12:12">
      <c r="L634" s="5" t="str">
        <f t="shared" ca="1" si="13"/>
        <v/>
      </c>
    </row>
    <row r="635" spans="12:12">
      <c r="L635" s="5" t="str">
        <f t="shared" ca="1" si="13"/>
        <v/>
      </c>
    </row>
    <row r="636" spans="12:12">
      <c r="L636" s="5" t="str">
        <f t="shared" ca="1" si="13"/>
        <v/>
      </c>
    </row>
    <row r="637" spans="12:12">
      <c r="L637" s="5" t="str">
        <f t="shared" ca="1" si="13"/>
        <v/>
      </c>
    </row>
    <row r="638" spans="12:12">
      <c r="L638" s="5" t="str">
        <f t="shared" ca="1" si="13"/>
        <v/>
      </c>
    </row>
    <row r="639" spans="12:12">
      <c r="L639" s="5" t="str">
        <f t="shared" ca="1" si="13"/>
        <v/>
      </c>
    </row>
    <row r="640" spans="12:12">
      <c r="L640" s="5" t="str">
        <f t="shared" ca="1" si="13"/>
        <v/>
      </c>
    </row>
    <row r="641" spans="12:12">
      <c r="L641" s="5" t="str">
        <f t="shared" ca="1" si="13"/>
        <v/>
      </c>
    </row>
    <row r="642" spans="12:12">
      <c r="L642" s="5" t="str">
        <f t="shared" ca="1" si="13"/>
        <v/>
      </c>
    </row>
    <row r="643" spans="12:12">
      <c r="L643" s="5" t="str">
        <f t="shared" ca="1" si="13"/>
        <v/>
      </c>
    </row>
    <row r="644" spans="12:12">
      <c r="L644" s="5" t="str">
        <f t="shared" ca="1" si="13"/>
        <v/>
      </c>
    </row>
    <row r="645" spans="12:12">
      <c r="L645" s="5" t="str">
        <f t="shared" ca="1" si="13"/>
        <v/>
      </c>
    </row>
    <row r="646" spans="12:12">
      <c r="L646" s="5" t="str">
        <f t="shared" ca="1" si="13"/>
        <v/>
      </c>
    </row>
    <row r="647" spans="12:12">
      <c r="L647" s="5" t="str">
        <f t="shared" ca="1" si="13"/>
        <v/>
      </c>
    </row>
    <row r="648" spans="12:12">
      <c r="L648" s="5" t="str">
        <f t="shared" ca="1" si="13"/>
        <v/>
      </c>
    </row>
    <row r="649" spans="12:12">
      <c r="L649" s="5" t="str">
        <f t="shared" ca="1" si="13"/>
        <v/>
      </c>
    </row>
    <row r="650" spans="12:12">
      <c r="L650" s="5" t="str">
        <f t="shared" ca="1" si="13"/>
        <v/>
      </c>
    </row>
    <row r="651" spans="12:12">
      <c r="L651" s="5" t="str">
        <f t="shared" ca="1" si="13"/>
        <v/>
      </c>
    </row>
    <row r="652" spans="12:12">
      <c r="L652" s="5" t="str">
        <f t="shared" ca="1" si="13"/>
        <v/>
      </c>
    </row>
    <row r="653" spans="12:12">
      <c r="L653" s="5" t="str">
        <f t="shared" ca="1" si="13"/>
        <v/>
      </c>
    </row>
    <row r="654" spans="12:12">
      <c r="L654" s="5" t="str">
        <f t="shared" ca="1" si="13"/>
        <v/>
      </c>
    </row>
    <row r="655" spans="12:12">
      <c r="L655" s="5" t="str">
        <f t="shared" ref="L655:L718" ca="1" si="14">IF(I655="","",IF(K655&lt;&gt;"",IF(--K655&lt;=--J655,"🟢 Cumplido a Tiempo","🟡 Entregado con Atraso ("&amp;TEXT(--K655---J655,"0")&amp;" d)"),IF(J655="","🔴 Sin Fecha Compromiso",IF(TODAY()&lt;=--J655,"🟢 En Plazo ("&amp;TEXT(--J655-TODAY(),"0")&amp;" d rest.)","🔴 Atrasado ("&amp;TEXT(TODAY()---J655,"0")&amp;" d)"))))</f>
        <v/>
      </c>
    </row>
    <row r="656" spans="12:12">
      <c r="L656" s="5" t="str">
        <f t="shared" ca="1" si="14"/>
        <v/>
      </c>
    </row>
    <row r="657" spans="12:12">
      <c r="L657" s="5" t="str">
        <f t="shared" ca="1" si="14"/>
        <v/>
      </c>
    </row>
    <row r="658" spans="12:12">
      <c r="L658" s="5" t="str">
        <f t="shared" ca="1" si="14"/>
        <v/>
      </c>
    </row>
    <row r="659" spans="12:12">
      <c r="L659" s="5" t="str">
        <f t="shared" ca="1" si="14"/>
        <v/>
      </c>
    </row>
    <row r="660" spans="12:12">
      <c r="L660" s="5" t="str">
        <f t="shared" ca="1" si="14"/>
        <v/>
      </c>
    </row>
    <row r="661" spans="12:12">
      <c r="L661" s="5" t="str">
        <f t="shared" ca="1" si="14"/>
        <v/>
      </c>
    </row>
    <row r="662" spans="12:12">
      <c r="L662" s="5" t="str">
        <f t="shared" ca="1" si="14"/>
        <v/>
      </c>
    </row>
    <row r="663" spans="12:12">
      <c r="L663" s="5" t="str">
        <f t="shared" ca="1" si="14"/>
        <v/>
      </c>
    </row>
    <row r="664" spans="12:12">
      <c r="L664" s="5" t="str">
        <f t="shared" ca="1" si="14"/>
        <v/>
      </c>
    </row>
    <row r="665" spans="12:12">
      <c r="L665" s="5" t="str">
        <f t="shared" ca="1" si="14"/>
        <v/>
      </c>
    </row>
    <row r="666" spans="12:12">
      <c r="L666" s="5" t="str">
        <f t="shared" ca="1" si="14"/>
        <v/>
      </c>
    </row>
    <row r="667" spans="12:12">
      <c r="L667" s="5" t="str">
        <f t="shared" ca="1" si="14"/>
        <v/>
      </c>
    </row>
    <row r="668" spans="12:12">
      <c r="L668" s="5" t="str">
        <f t="shared" ca="1" si="14"/>
        <v/>
      </c>
    </row>
    <row r="669" spans="12:12">
      <c r="L669" s="5" t="str">
        <f t="shared" ca="1" si="14"/>
        <v/>
      </c>
    </row>
    <row r="670" spans="12:12">
      <c r="L670" s="5" t="str">
        <f t="shared" ca="1" si="14"/>
        <v/>
      </c>
    </row>
    <row r="671" spans="12:12">
      <c r="L671" s="5" t="str">
        <f t="shared" ca="1" si="14"/>
        <v/>
      </c>
    </row>
    <row r="672" spans="12:12">
      <c r="L672" s="5" t="str">
        <f t="shared" ca="1" si="14"/>
        <v/>
      </c>
    </row>
    <row r="673" spans="12:12">
      <c r="L673" s="5" t="str">
        <f t="shared" ca="1" si="14"/>
        <v/>
      </c>
    </row>
    <row r="674" spans="12:12">
      <c r="L674" s="5" t="str">
        <f t="shared" ca="1" si="14"/>
        <v/>
      </c>
    </row>
    <row r="675" spans="12:12">
      <c r="L675" s="5" t="str">
        <f t="shared" ca="1" si="14"/>
        <v/>
      </c>
    </row>
    <row r="676" spans="12:12">
      <c r="L676" s="5" t="str">
        <f t="shared" ca="1" si="14"/>
        <v/>
      </c>
    </row>
    <row r="677" spans="12:12">
      <c r="L677" s="5" t="str">
        <f t="shared" ca="1" si="14"/>
        <v/>
      </c>
    </row>
    <row r="678" spans="12:12">
      <c r="L678" s="5" t="str">
        <f t="shared" ca="1" si="14"/>
        <v/>
      </c>
    </row>
    <row r="679" spans="12:12">
      <c r="L679" s="5" t="str">
        <f t="shared" ca="1" si="14"/>
        <v/>
      </c>
    </row>
    <row r="680" spans="12:12">
      <c r="L680" s="5" t="str">
        <f t="shared" ca="1" si="14"/>
        <v/>
      </c>
    </row>
    <row r="681" spans="12:12">
      <c r="L681" s="5" t="str">
        <f t="shared" ca="1" si="14"/>
        <v/>
      </c>
    </row>
    <row r="682" spans="12:12">
      <c r="L682" s="5" t="str">
        <f t="shared" ca="1" si="14"/>
        <v/>
      </c>
    </row>
    <row r="683" spans="12:12">
      <c r="L683" s="5" t="str">
        <f t="shared" ca="1" si="14"/>
        <v/>
      </c>
    </row>
    <row r="684" spans="12:12">
      <c r="L684" s="5" t="str">
        <f t="shared" ca="1" si="14"/>
        <v/>
      </c>
    </row>
    <row r="685" spans="12:12">
      <c r="L685" s="5" t="str">
        <f t="shared" ca="1" si="14"/>
        <v/>
      </c>
    </row>
    <row r="686" spans="12:12">
      <c r="L686" s="5" t="str">
        <f t="shared" ca="1" si="14"/>
        <v/>
      </c>
    </row>
    <row r="687" spans="12:12">
      <c r="L687" s="5" t="str">
        <f t="shared" ca="1" si="14"/>
        <v/>
      </c>
    </row>
    <row r="688" spans="12:12">
      <c r="L688" s="5" t="str">
        <f t="shared" ca="1" si="14"/>
        <v/>
      </c>
    </row>
    <row r="689" spans="12:12">
      <c r="L689" s="5" t="str">
        <f t="shared" ca="1" si="14"/>
        <v/>
      </c>
    </row>
    <row r="690" spans="12:12">
      <c r="L690" s="5" t="str">
        <f t="shared" ca="1" si="14"/>
        <v/>
      </c>
    </row>
    <row r="691" spans="12:12">
      <c r="L691" s="5" t="str">
        <f t="shared" ca="1" si="14"/>
        <v/>
      </c>
    </row>
    <row r="692" spans="12:12">
      <c r="L692" s="5" t="str">
        <f t="shared" ca="1" si="14"/>
        <v/>
      </c>
    </row>
    <row r="693" spans="12:12">
      <c r="L693" s="5" t="str">
        <f t="shared" ca="1" si="14"/>
        <v/>
      </c>
    </row>
    <row r="694" spans="12:12">
      <c r="L694" s="5" t="str">
        <f t="shared" ca="1" si="14"/>
        <v/>
      </c>
    </row>
    <row r="695" spans="12:12">
      <c r="L695" s="5" t="str">
        <f t="shared" ca="1" si="14"/>
        <v/>
      </c>
    </row>
    <row r="696" spans="12:12">
      <c r="L696" s="5" t="str">
        <f t="shared" ca="1" si="14"/>
        <v/>
      </c>
    </row>
    <row r="697" spans="12:12">
      <c r="L697" s="5" t="str">
        <f t="shared" ca="1" si="14"/>
        <v/>
      </c>
    </row>
    <row r="698" spans="12:12">
      <c r="L698" s="5" t="str">
        <f t="shared" ca="1" si="14"/>
        <v/>
      </c>
    </row>
    <row r="699" spans="12:12">
      <c r="L699" s="5" t="str">
        <f t="shared" ca="1" si="14"/>
        <v/>
      </c>
    </row>
    <row r="700" spans="12:12">
      <c r="L700" s="5" t="str">
        <f t="shared" ca="1" si="14"/>
        <v/>
      </c>
    </row>
    <row r="701" spans="12:12">
      <c r="L701" s="5" t="str">
        <f t="shared" ca="1" si="14"/>
        <v/>
      </c>
    </row>
    <row r="702" spans="12:12">
      <c r="L702" s="5" t="str">
        <f t="shared" ca="1" si="14"/>
        <v/>
      </c>
    </row>
    <row r="703" spans="12:12">
      <c r="L703" s="5" t="str">
        <f t="shared" ca="1" si="14"/>
        <v/>
      </c>
    </row>
    <row r="704" spans="12:12">
      <c r="L704" s="5" t="str">
        <f t="shared" ca="1" si="14"/>
        <v/>
      </c>
    </row>
    <row r="705" spans="12:12">
      <c r="L705" s="5" t="str">
        <f t="shared" ca="1" si="14"/>
        <v/>
      </c>
    </row>
    <row r="706" spans="12:12">
      <c r="L706" s="5" t="str">
        <f t="shared" ca="1" si="14"/>
        <v/>
      </c>
    </row>
    <row r="707" spans="12:12">
      <c r="L707" s="5" t="str">
        <f t="shared" ca="1" si="14"/>
        <v/>
      </c>
    </row>
    <row r="708" spans="12:12">
      <c r="L708" s="5" t="str">
        <f t="shared" ca="1" si="14"/>
        <v/>
      </c>
    </row>
    <row r="709" spans="12:12">
      <c r="L709" s="5" t="str">
        <f t="shared" ca="1" si="14"/>
        <v/>
      </c>
    </row>
    <row r="710" spans="12:12">
      <c r="L710" s="5" t="str">
        <f t="shared" ca="1" si="14"/>
        <v/>
      </c>
    </row>
    <row r="711" spans="12:12">
      <c r="L711" s="5" t="str">
        <f t="shared" ca="1" si="14"/>
        <v/>
      </c>
    </row>
    <row r="712" spans="12:12">
      <c r="L712" s="5" t="str">
        <f t="shared" ca="1" si="14"/>
        <v/>
      </c>
    </row>
    <row r="713" spans="12:12">
      <c r="L713" s="5" t="str">
        <f t="shared" ca="1" si="14"/>
        <v/>
      </c>
    </row>
    <row r="714" spans="12:12">
      <c r="L714" s="5" t="str">
        <f t="shared" ca="1" si="14"/>
        <v/>
      </c>
    </row>
    <row r="715" spans="12:12">
      <c r="L715" s="5" t="str">
        <f t="shared" ca="1" si="14"/>
        <v/>
      </c>
    </row>
    <row r="716" spans="12:12">
      <c r="L716" s="5" t="str">
        <f t="shared" ca="1" si="14"/>
        <v/>
      </c>
    </row>
    <row r="717" spans="12:12">
      <c r="L717" s="5" t="str">
        <f t="shared" ca="1" si="14"/>
        <v/>
      </c>
    </row>
    <row r="718" spans="12:12">
      <c r="L718" s="5" t="str">
        <f t="shared" ca="1" si="14"/>
        <v/>
      </c>
    </row>
    <row r="719" spans="12:12">
      <c r="L719" s="5" t="str">
        <f t="shared" ref="L719:L725" ca="1" si="15">IF(I719="","",IF(K719&lt;&gt;"",IF(--K719&lt;=--J719,"🟢 Cumplido a Tiempo","🟡 Entregado con Atraso ("&amp;TEXT(--K719---J719,"0")&amp;" d)"),IF(J719="","🔴 Sin Fecha Compromiso",IF(TODAY()&lt;=--J719,"🟢 En Plazo ("&amp;TEXT(--J719-TODAY(),"0")&amp;" d rest.)","🔴 Atrasado ("&amp;TEXT(TODAY()---J719,"0")&amp;" d)"))))</f>
        <v/>
      </c>
    </row>
    <row r="720" spans="12:12">
      <c r="L720" s="5" t="str">
        <f t="shared" ca="1" si="15"/>
        <v/>
      </c>
    </row>
    <row r="721" spans="12:12">
      <c r="L721" s="5" t="str">
        <f t="shared" ca="1" si="15"/>
        <v/>
      </c>
    </row>
    <row r="722" spans="12:12">
      <c r="L722" s="5" t="str">
        <f t="shared" ca="1" si="15"/>
        <v/>
      </c>
    </row>
    <row r="723" spans="12:12">
      <c r="L723" s="5" t="str">
        <f t="shared" ca="1" si="15"/>
        <v/>
      </c>
    </row>
    <row r="724" spans="12:12">
      <c r="L724" s="5" t="str">
        <f t="shared" ca="1" si="15"/>
        <v/>
      </c>
    </row>
    <row r="725" spans="12:12">
      <c r="L725" s="5" t="str">
        <f t="shared" ca="1" si="15"/>
        <v/>
      </c>
    </row>
  </sheetData>
  <phoneticPr fontId="8" type="noConversion"/>
  <conditionalFormatting sqref="G5:G112">
    <cfRule type="cellIs" dxfId="10" priority="1" operator="equal">
      <formula>"🟢 DISPONIBLE INMEDIATO"</formula>
    </cfRule>
    <cfRule type="cellIs" dxfId="9" priority="2" operator="equal">
      <formula>"🔵 EN USO POR MANDANTE"</formula>
    </cfRule>
    <cfRule type="cellIs" dxfId="8" priority="3" operator="equal">
      <formula>"🟡 EN TALLER / MANTENCIÓN"</formula>
    </cfRule>
    <cfRule type="cellIs" dxfId="7" priority="4" operator="equal">
      <formula>"🔴 NO OPERATIVO / FUERA SERVICIO"</formula>
    </cfRule>
  </conditionalFormatting>
  <conditionalFormatting sqref="M5:M112">
    <cfRule type="cellIs" dxfId="6" priority="5" operator="equal">
      <formula>"🟢 DISPONIBLE INMEDIATO"</formula>
    </cfRule>
    <cfRule type="cellIs" dxfId="5" priority="6" operator="equal">
      <formula>"🟢 SALIÓ DE TALLER (DISPONIBLE)"</formula>
    </cfRule>
    <cfRule type="cellIs" dxfId="4" priority="7" operator="equal">
      <formula>"🟡 YA POR SALIR DEL TALLER"</formula>
    </cfRule>
    <cfRule type="cellIs" dxfId="3" priority="8" operator="equal">
      <formula>"🟡 EN MANTENCIÓN SEGÚN PROGRAMA"</formula>
    </cfRule>
    <cfRule type="cellIs" dxfId="2" priority="9" operator="equal">
      <formula>"🔴 DEMORA / RETRASO EN TALLER"</formula>
    </cfRule>
    <cfRule type="cellIs" dxfId="1" priority="10" operator="equal">
      <formula>"🔴 NO OPERATIVO CRÍTICO"</formula>
    </cfRule>
    <cfRule type="cellIs" dxfId="0" priority="11" operator="equal">
      <formula>"🔴 EN TALLER (Falta Fecha Jefe Taller)"</formula>
    </cfRule>
  </conditionalFormatting>
  <dataValidations count="1">
    <dataValidation type="list" sqref="G5:G112" xr:uid="{00000000-0002-0000-0200-000000000000}">
      <formula1>"🟢 DISPONIBLE INMEDIATO, 🔵 EN USO POR MANDANTE, 🟡 EN TALLER / MANTENCIÓN, 🔴 NO OPERATIVO / FUERA SERVICIO"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Parámetros!$A$5:$A$25</xm:f>
          </x14:formula1>
          <xm:sqref>H5:H112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G16" sqref="G16"/>
    </sheetView>
  </sheetViews>
  <sheetFormatPr defaultColWidth="8.85546875" defaultRowHeight="14.45"/>
  <cols>
    <col min="1" max="1" width="36" customWidth="1"/>
    <col min="2" max="2" width="4" customWidth="1"/>
    <col min="3" max="3" width="26" customWidth="1"/>
    <col min="4" max="4" width="4" customWidth="1"/>
    <col min="5" max="5" width="32" customWidth="1"/>
    <col min="6" max="6" width="4" customWidth="1"/>
    <col min="7" max="7" width="34" customWidth="1"/>
    <col min="8" max="8" width="4" customWidth="1"/>
    <col min="9" max="9" width="36" customWidth="1"/>
  </cols>
  <sheetData>
    <row r="1" spans="1:9" ht="18">
      <c r="A1" s="1" t="s">
        <v>298</v>
      </c>
    </row>
    <row r="2" spans="1:9">
      <c r="A2" s="2" t="s">
        <v>299</v>
      </c>
    </row>
    <row r="4" spans="1:9">
      <c r="A4" s="18" t="s">
        <v>300</v>
      </c>
      <c r="C4" s="18" t="s">
        <v>301</v>
      </c>
      <c r="E4" s="18" t="s">
        <v>302</v>
      </c>
      <c r="G4" s="18" t="s">
        <v>303</v>
      </c>
      <c r="I4" s="18" t="s">
        <v>304</v>
      </c>
    </row>
    <row r="5" spans="1:9">
      <c r="A5" s="4" t="s">
        <v>44</v>
      </c>
      <c r="C5" s="4" t="s">
        <v>45</v>
      </c>
      <c r="E5" s="4" t="s">
        <v>305</v>
      </c>
      <c r="G5" s="4" t="s">
        <v>306</v>
      </c>
      <c r="I5" s="4" t="s">
        <v>83</v>
      </c>
    </row>
    <row r="6" spans="1:9">
      <c r="A6" s="4" t="s">
        <v>307</v>
      </c>
      <c r="C6" s="4" t="s">
        <v>308</v>
      </c>
      <c r="E6" s="4" t="s">
        <v>47</v>
      </c>
      <c r="G6" s="4" t="s">
        <v>48</v>
      </c>
      <c r="I6" s="4" t="s">
        <v>71</v>
      </c>
    </row>
    <row r="7" spans="1:9">
      <c r="A7" s="4" t="s">
        <v>309</v>
      </c>
      <c r="C7" s="4" t="s">
        <v>310</v>
      </c>
      <c r="E7" s="4" t="s">
        <v>311</v>
      </c>
      <c r="G7" s="4" t="s">
        <v>312</v>
      </c>
      <c r="I7" s="4" t="s">
        <v>92</v>
      </c>
    </row>
    <row r="8" spans="1:9">
      <c r="A8" s="4" t="s">
        <v>313</v>
      </c>
      <c r="C8" s="4" t="s">
        <v>314</v>
      </c>
      <c r="G8" s="4" t="s">
        <v>315</v>
      </c>
      <c r="I8" s="4" t="s">
        <v>117</v>
      </c>
    </row>
    <row r="9" spans="1:9">
      <c r="A9" s="4" t="s">
        <v>316</v>
      </c>
      <c r="C9" s="4" t="s">
        <v>317</v>
      </c>
    </row>
    <row r="10" spans="1:9">
      <c r="A10" s="4" t="s">
        <v>318</v>
      </c>
    </row>
    <row r="11" spans="1:9">
      <c r="A11" s="4" t="s">
        <v>319</v>
      </c>
    </row>
    <row r="12" spans="1:9">
      <c r="A12" s="4" t="s">
        <v>146</v>
      </c>
    </row>
    <row r="13" spans="1:9">
      <c r="A13" s="4" t="s">
        <v>84</v>
      </c>
    </row>
    <row r="14" spans="1:9">
      <c r="A14" s="4" t="s">
        <v>87</v>
      </c>
    </row>
    <row r="15" spans="1:9">
      <c r="A15" s="4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2026-08-28T19:14:11Z</dcterms:created>
  <dcterms:modified xsi:type="dcterms:W3CDTF">2026-09-05T01:35:50Z</dcterms:modified>
  <cp:category/>
  <cp:contentStatus/>
</cp:coreProperties>
</file>